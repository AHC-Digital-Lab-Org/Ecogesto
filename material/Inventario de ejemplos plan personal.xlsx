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danielvazquezsanz/Downloads/EcoGestos/"/>
    </mc:Choice>
  </mc:AlternateContent>
  <xr:revisionPtr revIDLastSave="0" documentId="8_{83EF567F-8E2B-2343-BDCC-AEBE18BF0322}" xr6:coauthVersionLast="47" xr6:coauthVersionMax="47" xr10:uidLastSave="{00000000-0000-0000-0000-000000000000}"/>
  <bookViews>
    <workbookView xWindow="0" yWindow="500" windowWidth="38400" windowHeight="21100" activeTab="5" xr2:uid="{D5095032-7E65-A543-9929-150EE1FE5959}"/>
  </bookViews>
  <sheets>
    <sheet name="Cover" sheetId="1" r:id="rId1"/>
    <sheet name="Guia" sheetId="18" r:id="rId2"/>
    <sheet name="Índice " sheetId="33" r:id="rId3"/>
    <sheet name="Resumen de tu plan" sheetId="2" r:id="rId4"/>
    <sheet name="1.1 transporte  " sheetId="15" r:id="rId5"/>
    <sheet name="1.2. Calcular transporte" sheetId="35" r:id="rId6"/>
    <sheet name="2.1. consumo energia en hogar" sheetId="16" r:id="rId7"/>
    <sheet name="2.2. Calcular energía en el hog" sheetId="36" r:id="rId8"/>
    <sheet name="3.1. dieta y consumo alimentos" sheetId="21" r:id="rId9"/>
    <sheet name="3.2. Calculo dieta y cons...." sheetId="37" r:id="rId10"/>
    <sheet name="4.1. Compras y consumos" sheetId="24" r:id="rId11"/>
    <sheet name="4.2. Calculo compras y consumos" sheetId="38" r:id="rId12"/>
    <sheet name="5.1. Gestión de Residuos " sheetId="28" r:id="rId13"/>
    <sheet name="5.2. Calculo gestión de residuo" sheetId="39" r:id="rId14"/>
    <sheet name="6.1. Participación comunitaria" sheetId="26" r:id="rId15"/>
    <sheet name="6.2. Calcular Participación com" sheetId="32" r:id="rId16"/>
    <sheet name="Mi Plan" sheetId="13" r:id="rId17"/>
    <sheet name="Mis ideas" sheetId="20" r:id="rId18"/>
    <sheet name=" CO2 Spain no tocar" sheetId="5" r:id="rId19"/>
    <sheet name=" Parametros, no tocar" sheetId="6" r:id="rId20"/>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35" i="5" l="1"/>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J13" i="2"/>
  <c r="J12" i="2"/>
  <c r="J11" i="2"/>
  <c r="J10" i="2"/>
  <c r="J9" i="2"/>
  <c r="I13" i="2"/>
  <c r="I12" i="2"/>
  <c r="I11" i="2"/>
  <c r="I10" i="2"/>
  <c r="I9" i="2"/>
  <c r="I8" i="2"/>
  <c r="H13" i="2"/>
  <c r="H12" i="2"/>
  <c r="G13" i="2"/>
  <c r="F13" i="2"/>
  <c r="G12" i="2"/>
  <c r="F12" i="2"/>
  <c r="H11" i="2"/>
  <c r="G11" i="2"/>
  <c r="F11" i="2"/>
  <c r="H10" i="2"/>
  <c r="G10" i="2"/>
  <c r="F10" i="2"/>
  <c r="F9" i="2"/>
  <c r="H9" i="2"/>
  <c r="G9" i="2"/>
  <c r="F8" i="2"/>
  <c r="H8" i="2"/>
  <c r="G8" i="2"/>
  <c r="E13" i="2"/>
  <c r="D13" i="2"/>
  <c r="E12" i="2"/>
  <c r="D12" i="2"/>
  <c r="E11" i="2"/>
  <c r="D11" i="2"/>
  <c r="E10" i="2"/>
  <c r="D10" i="2"/>
  <c r="E9" i="2"/>
  <c r="D9" i="2"/>
  <c r="E8" i="2"/>
  <c r="D8" i="2"/>
  <c r="J8" i="2" l="1"/>
  <c r="J15" i="2" s="1"/>
  <c r="D5" i="5"/>
  <c r="G5" i="5" s="1"/>
  <c r="I15" i="2" l="1"/>
  <c r="F15" i="2"/>
  <c r="G15" i="2"/>
  <c r="H15" i="2"/>
  <c r="D15" i="2"/>
  <c r="E15" i="2"/>
  <c r="D30" i="5"/>
  <c r="D19" i="5"/>
  <c r="D14" i="5"/>
  <c r="G14" i="5" s="1"/>
  <c r="D9" i="5"/>
  <c r="G9" i="5" s="1"/>
  <c r="D8" i="5"/>
  <c r="D10" i="5"/>
  <c r="G10" i="5" s="1"/>
  <c r="D35" i="5"/>
  <c r="D24" i="5"/>
  <c r="G24" i="5" s="1"/>
  <c r="D18" i="5"/>
  <c r="D34" i="5"/>
  <c r="D28" i="5"/>
  <c r="D23" i="5"/>
  <c r="D17" i="5"/>
  <c r="D12" i="5"/>
  <c r="D7" i="5"/>
  <c r="G7" i="5" s="1"/>
  <c r="D20" i="5"/>
  <c r="D29" i="5"/>
  <c r="D13" i="5"/>
  <c r="D33" i="5"/>
  <c r="D27" i="5"/>
  <c r="D22" i="5"/>
  <c r="D16" i="5"/>
  <c r="G16" i="5" s="1"/>
  <c r="D11" i="5"/>
  <c r="G11" i="5" s="1"/>
  <c r="D6" i="5"/>
  <c r="G6" i="5" s="1"/>
  <c r="D31" i="5"/>
  <c r="D32" i="5"/>
  <c r="D26" i="5"/>
  <c r="D21" i="5"/>
  <c r="D15" i="5"/>
  <c r="D25" i="5"/>
  <c r="G25" i="5" s="1"/>
</calcChain>
</file>

<file path=xl/sharedStrings.xml><?xml version="1.0" encoding="utf-8"?>
<sst xmlns="http://schemas.openxmlformats.org/spreadsheetml/2006/main" count="2097" uniqueCount="856">
  <si>
    <t>Plan Personal Reducción Huella de Carbono</t>
  </si>
  <si>
    <t>Equipo de I+D</t>
  </si>
  <si>
    <t>Updated by: Maria Luz Sanz Villarroya</t>
  </si>
  <si>
    <t>Para cualquier información diriíjase a Secretaria@asociacionhuelladecarbono.org</t>
  </si>
  <si>
    <t>Cómo Utilizar Este Excel</t>
  </si>
  <si>
    <t>Este Excel se compone de varias medidas que podemos adoptar en nuestra vida personal para reducir la huella de carbono.</t>
  </si>
  <si>
    <t>Estas medidas que tratan de abarcar los diferentes aspectos de la vida de una persona o una empresa, están ordenadas en diferentes apartados:</t>
  </si>
  <si>
    <t xml:space="preserve">1.1 transporte </t>
  </si>
  <si>
    <t>2.1. consumo energia en hogar'</t>
  </si>
  <si>
    <t>3.1. dieta y consumo alimentos</t>
  </si>
  <si>
    <t>4.1. Compras y consumos</t>
  </si>
  <si>
    <t>5.1. Gestión de Residuos</t>
  </si>
  <si>
    <t>6.1. Participación comunitaria</t>
  </si>
  <si>
    <t>Instrucciones:</t>
  </si>
  <si>
    <t>1. Lectura y Evaluación de Acciones</t>
  </si>
  <si>
    <t>Lee las acciones propuestas y valora la posibilidad de aplicarlas en tu vida diaria.</t>
  </si>
  <si>
    <t>A continuación, analizar el grado de aplicación en tu vida diaria, su costo y el beneficio obtenido en cuanto a la reducción de Kg de CO2 emitidos.</t>
  </si>
  <si>
    <t>2. Rellenar Columnas</t>
  </si>
  <si>
    <t>Para cada acción, completa las siguientes columnas:</t>
  </si>
  <si>
    <t>¿Puedo aplicarla?</t>
  </si>
  <si>
    <t>Que % puedo aplicar</t>
  </si>
  <si>
    <t>Especifica el porcentaje de aplicación.</t>
  </si>
  <si>
    <t>En que periodo de tiempo puedo implementarla?</t>
  </si>
  <si>
    <t>Cuánto Carbono ( kg o % ) Creo que puedo evitar?</t>
  </si>
  <si>
    <t>Estima la cantidad de carbono que puedes evitar.</t>
  </si>
  <si>
    <t xml:space="preserve">Cuánto me va a costar? </t>
  </si>
  <si>
    <t>Calcula el costo asociado a la implementación.</t>
  </si>
  <si>
    <t>3.  "Cómo se Calcula"</t>
  </si>
  <si>
    <t>La hoja siguiente a cada hoja de acciones, lleva incorporado un ejemplo de calculo para cada acción, que te puede servir de orientación para tu calculo, Puedes usar la IA para facilitar el calculo de tu caso.</t>
  </si>
  <si>
    <t>La información de la hojas "Calcular …" te ayudaran a calcular las emisiones de carbono evitadas y el ahorro o coste que puede suponer su aplicación.</t>
  </si>
  <si>
    <t>4. Creación de tu Plan Personal</t>
  </si>
  <si>
    <t>Una vez completadas cada una de las hojas, crea tu propio plan personal.</t>
  </si>
  <si>
    <t>Ordena la hoja completada poniendo en primer lugar aquellas medidas que puedes aplicar.</t>
  </si>
  <si>
    <t>En el menú: selecciona "Ordenar y filtrar" &gt; "Orden personalizado".</t>
  </si>
  <si>
    <t>En el desplegable de la columna, elige "Columna F" &gt; "Valores de celda" &gt; "Orden Z-A".</t>
  </si>
  <si>
    <t>De esta manera, tendrás en primer lugar aquellas medidas que puedes aplicar.</t>
  </si>
  <si>
    <t>5. Ordenar Medidas por Plazo de Aplicación</t>
  </si>
  <si>
    <t>Para ordenar las medidas por el plazo en que puedes aplicarlas, antes de cerrar el desplegable, selecciona "Añadir un nivel" &gt; "Columna J" &gt; "Valores de celda" &gt; "Orden A-Z".</t>
  </si>
  <si>
    <t>Así, tendrás en primer lugar las medidas que puedes aplicar, ordenadas por corto, medio o largo plazo.</t>
  </si>
  <si>
    <t>6. Traslado de Medidas a "Mi Plan"</t>
  </si>
  <si>
    <t>Selecciona todas las filas de las medidas que has dicho que puedes aplicar y cópialas (Ctrl+C).</t>
  </si>
  <si>
    <t>Trasládalas a la hoja titulada "Mi plan" y pégalas (Ctrl+V) en la primera fila libre de la columna A.</t>
  </si>
  <si>
    <t>Tus Propias Ideas</t>
  </si>
  <si>
    <t>Otro ejercicio interesante y útil es completar la hoja "Mis ideas".</t>
  </si>
  <si>
    <t>A medida que completes cada una de las hojas, escribe en la hoja "Mis ideas" aquellas medidas que realizas o crees que puedes realizar y no se hayan propuesto.</t>
  </si>
  <si>
    <t>Intenta encontrar al menos tres medidas para cada una de las hojas.</t>
  </si>
  <si>
    <t>Compartir Tus Ideas</t>
  </si>
  <si>
    <t>Cuando tengas acabado tu plan personal, comparte tus ideas enviando esta hoja a [incluir dirección de envío].</t>
  </si>
  <si>
    <t>Repasa tu Plan</t>
  </si>
  <si>
    <t>Periodicamente comprueba como va la implantación de las acciones que consideras realizables en la hoja "Mi Plan".</t>
  </si>
  <si>
    <t>Nº de hoja</t>
  </si>
  <si>
    <t>Nombre</t>
  </si>
  <si>
    <t>Descripción</t>
  </si>
  <si>
    <t>Enlace</t>
  </si>
  <si>
    <t>Cover</t>
  </si>
  <si>
    <t>Portada</t>
  </si>
  <si>
    <t>Cover!A1</t>
  </si>
  <si>
    <t>Índice</t>
  </si>
  <si>
    <t>Índice '!A1</t>
  </si>
  <si>
    <t>Guia</t>
  </si>
  <si>
    <t>Breve explicación del uso de esta hoja de cálculo</t>
  </si>
  <si>
    <t>Guia!A1</t>
  </si>
  <si>
    <t>1.1. Transporte</t>
  </si>
  <si>
    <t>Propuesta de acciones en materia de transporte para reducir la HC</t>
  </si>
  <si>
    <t>1.1 transporte  '!A1</t>
  </si>
  <si>
    <t>1.2. Calcular transporte</t>
  </si>
  <si>
    <t>Contiene indicaciones sobre el calculo de la reducción de la HC de las acciones de transporte</t>
  </si>
  <si>
    <t>1.2. Calcular transporte'!A1</t>
  </si>
  <si>
    <t>2.1. Consumo energia en hogar</t>
  </si>
  <si>
    <t>Propuesta de acciones en materia de consumo de energia en el hogar para reducir la HC</t>
  </si>
  <si>
    <t>2.1. consumo energia en hogar'!A1</t>
  </si>
  <si>
    <t>2.2. Calcular energia en hogar</t>
  </si>
  <si>
    <t>Contiene indicaciones sobre el calculo de la reducción de la HC de las acciones de consumo de energia en el hogar</t>
  </si>
  <si>
    <t>2.2. Calcular Energia en hogar '!A1</t>
  </si>
  <si>
    <t xml:space="preserve">3.1. dieta y consumo alimentos </t>
  </si>
  <si>
    <t>Propuesta de acciones en materia de dieta y consumo de alimentos para reducir la HC</t>
  </si>
  <si>
    <t>3.1. dieta y consumo alimentos'!A1</t>
  </si>
  <si>
    <t>3.2. calculo dieta y alimentos</t>
  </si>
  <si>
    <t>Contiene indicaciones sobre el calculo de la reducción de la HC de las acciones de dieta y consumo de alimentos</t>
  </si>
  <si>
    <t>3.2. calculo dieta y alimentos'!A1</t>
  </si>
  <si>
    <t>Propuesta de acciones en materia de  Compras y consumos para reducir la HC</t>
  </si>
  <si>
    <t>4.1. Compras y consumos'!A1</t>
  </si>
  <si>
    <t>4.2. Calcular compras y consumo</t>
  </si>
  <si>
    <t>Contiene indicaciones sobre el calculo de la reducción de la HC de las acciones de  Compras y consumos</t>
  </si>
  <si>
    <t>4.2. Calcular compras y consumo'!A1</t>
  </si>
  <si>
    <t>Propuesta de acciones en materia de  Gestión de Residuos para reducir la HC</t>
  </si>
  <si>
    <t>5.1. Gestión de Residuos '!A1</t>
  </si>
  <si>
    <t>5.2. Calcular gestión residuos</t>
  </si>
  <si>
    <t>Contiene indicaciones sobre el calculo de la reducción de la HC de las acciones de  Gestión de Residuos</t>
  </si>
  <si>
    <t>5.2. Calcular gestión residuos'!A1</t>
  </si>
  <si>
    <t>6.1. Participación Comunitaria</t>
  </si>
  <si>
    <t>Propuesta de acciones en actividades comunitarias para reducir la HC</t>
  </si>
  <si>
    <t>6.1. Participación y Concie (2)'!A1</t>
  </si>
  <si>
    <t>6.2. Calcular Participación com</t>
  </si>
  <si>
    <t>Contiene indicaciones sobre el calculo de la reducción de la HC de las acciones de participación comunitaria</t>
  </si>
  <si>
    <t>6.2. Calcular Participación com'!A1</t>
  </si>
  <si>
    <t>Mi Plan</t>
  </si>
  <si>
    <t>Vas a crear esta hoja completandola con todas aquellas medidas que tu consideras que puedes aplicar, como indica la guía</t>
  </si>
  <si>
    <t>Mi Plan'!A1</t>
  </si>
  <si>
    <t>Mis ideas</t>
  </si>
  <si>
    <t>Vas a crear esta hoja con las ideas  que consideras que puedes aplicar y no se hayan propuesto.</t>
  </si>
  <si>
    <t>Mis ideas'!A1</t>
  </si>
  <si>
    <t>Anexo CO2 Spain</t>
  </si>
  <si>
    <t>Parametros</t>
  </si>
  <si>
    <t>Datos de las columnas del Plan con respuestas cerradas</t>
  </si>
  <si>
    <t>#</t>
  </si>
  <si>
    <t>Resumen del impacto de las medidas seleccionadas en tu plan personal de reducción de huella de carbono.</t>
  </si>
  <si>
    <t>Aplicabilidad en mi caso particular</t>
  </si>
  <si>
    <t>Si</t>
  </si>
  <si>
    <t>No</t>
  </si>
  <si>
    <t>Corto Plazo</t>
  </si>
  <si>
    <t>Medio Plazo</t>
  </si>
  <si>
    <t>Largo Plazo</t>
  </si>
  <si>
    <t>Coste Total</t>
  </si>
  <si>
    <t>Kg CO2</t>
  </si>
  <si>
    <t>Transporte</t>
  </si>
  <si>
    <t>Consumo de Energía en el Hogar</t>
  </si>
  <si>
    <t>Dieta y Consumo de Alimentos</t>
  </si>
  <si>
    <t>Compras y Consumo</t>
  </si>
  <si>
    <t>Gestión de Residuos</t>
  </si>
  <si>
    <t>Participación Comunitaria y Conciencia Ambiental</t>
  </si>
  <si>
    <t>Total</t>
  </si>
  <si>
    <t>Acciónes del Grupo de Transporte</t>
  </si>
  <si>
    <t>Impacto Potencial</t>
  </si>
  <si>
    <t>Puedo Aplicarla?</t>
  </si>
  <si>
    <t>Facilidad de Ejecución</t>
  </si>
  <si>
    <t>En que periodo de tiempo puedo implementarla ?</t>
  </si>
  <si>
    <t>Cuánto Carbono ( kg o % ) Creo que puedo evitar / ahorrar / quitar?</t>
  </si>
  <si>
    <t>Coste</t>
  </si>
  <si>
    <t>Cuánto me va a costar? 
( Indique €uros Anuales )</t>
  </si>
  <si>
    <t>Duración</t>
  </si>
  <si>
    <t>Rol (Ciudadano, Empleado, Familia, Amigos, Comunidad)</t>
  </si>
  <si>
    <t>Organización y Planificación del Transporte Personal</t>
  </si>
  <si>
    <t>Planificar rutas eficientes</t>
  </si>
  <si>
    <t>Planificar viajes para minimizar la distancia y el tiempo en carretera</t>
  </si>
  <si>
    <t>Moderado</t>
  </si>
  <si>
    <t>Del 0 al 20%</t>
  </si>
  <si>
    <t>Fácil</t>
  </si>
  <si>
    <t>Corto plazo ( 1 Mes o más )</t>
  </si>
  <si>
    <t>Ninguno</t>
  </si>
  <si>
    <t>Continuo</t>
  </si>
  <si>
    <t>Ciudadano</t>
  </si>
  <si>
    <t xml:space="preserve"> Usar aplicaciones de transporte público</t>
  </si>
  <si>
    <t>Utilizar aplicaciones para acceder a horarios y rutas de transporte público</t>
  </si>
  <si>
    <t>Bajo</t>
  </si>
  <si>
    <t>Participar en programas de incentivos para el transporte público</t>
  </si>
  <si>
    <t>Utilizar programas de descuento para fomentar el transporte público</t>
  </si>
  <si>
    <t>Variable</t>
  </si>
  <si>
    <t>Ciudadano, Empleado</t>
  </si>
  <si>
    <t>Utilizar aplicaciones de navegación con tráfico en tiempo real</t>
  </si>
  <si>
    <t>Evitar atascos y rutas congestionadas</t>
  </si>
  <si>
    <t xml:space="preserve"> Mantener un automóvil bien mantenido</t>
  </si>
  <si>
    <t>Realizar un mantenimiento regular para mejorar la eficiencia</t>
  </si>
  <si>
    <t>Evitar la conducción agresiva</t>
  </si>
  <si>
    <t>Conducir de manera más suave y eficiente para reducir el consumo de combustible</t>
  </si>
  <si>
    <t>Evitar viajes innecesarios</t>
  </si>
  <si>
    <t>Reducir los viajes personales que no sean esenciales</t>
  </si>
  <si>
    <t>Implementar un sistema de transporte al trabajo</t>
  </si>
  <si>
    <t>Organizar viajes compartidos para empleados</t>
  </si>
  <si>
    <t>Alto</t>
  </si>
  <si>
    <t>Empleado</t>
  </si>
  <si>
    <t>Transporte Público</t>
  </si>
  <si>
    <t>Usar transporte público</t>
  </si>
  <si>
    <t>Optar por autobuses, trenes o metros en lugar de automóvil personal</t>
  </si>
  <si>
    <t>Invertir en opciones de transporte público ecológicas</t>
  </si>
  <si>
    <t>Promover la inversión en transporte público sostenible</t>
  </si>
  <si>
    <t>Ciudadano, Comunidad</t>
  </si>
  <si>
    <t>Apoyar la creación de carriles exclusivos para autobuses</t>
  </si>
  <si>
    <t>Abogar por carriles dedicados a autobuses para fomentar el transporte público</t>
  </si>
  <si>
    <t>Transporte Compartido</t>
  </si>
  <si>
    <t>Compartir viajes (carpooling)</t>
  </si>
  <si>
    <t>Compartir el automóvil con colegas o amigos para reducir emisiones</t>
  </si>
  <si>
    <t>Ciudadano, Amigos</t>
  </si>
  <si>
    <t>Usar vehículos compartidos (carsharing)</t>
  </si>
  <si>
    <t>Alquilar vehículos solo cuando sea necesario</t>
  </si>
  <si>
    <t>Utilizar servicios de transporte compartido</t>
  </si>
  <si>
    <t>Utilizar servicios como UberPool o Lyft Line</t>
  </si>
  <si>
    <t>Vehículos Personales</t>
  </si>
  <si>
    <t>Optar por vehículos eléctricos o híbridos</t>
  </si>
  <si>
    <t>Comprar un automóvil eléctrico o híbrido</t>
  </si>
  <si>
    <t>A largo plazo</t>
  </si>
  <si>
    <t>Ciudadano, Familia</t>
  </si>
  <si>
    <t>Elegir automóviles con alta eficiencia de combustible</t>
  </si>
  <si>
    <t>Comprar vehículos con un bajo consumo de combustible</t>
  </si>
  <si>
    <t>Evitar el uso de vehículos todo terreno</t>
  </si>
  <si>
    <t>Optar por vehículos más eficientes en combustible</t>
  </si>
  <si>
    <t>Transporte No Motorizado</t>
  </si>
  <si>
    <t>Promover el uso de transportes no motorizados</t>
  </si>
  <si>
    <t>Fomentar el uso de caminar o patinetas eléctricas</t>
  </si>
  <si>
    <t>Fomentar el uso de bicicletas</t>
  </si>
  <si>
    <t>Promover el ciclismo como medio de transporte</t>
  </si>
  <si>
    <t>Apoyar la infraestructura para bicicletas</t>
  </si>
  <si>
    <t>Abogar por más carriles para bicicletas y estacionamientos</t>
  </si>
  <si>
    <t>Alternativas al Transporte</t>
  </si>
  <si>
    <t>Trabajar desde casa o teletrabajar</t>
  </si>
  <si>
    <t>Realizar el trabajo desde casa para evitar viajes diarios</t>
  </si>
  <si>
    <t xml:space="preserve"> </t>
  </si>
  <si>
    <t>Empleado, Ciudadano</t>
  </si>
  <si>
    <t>Otras Acciones</t>
  </si>
  <si>
    <t>Contribuir a proyectos de movilidad sostenible</t>
  </si>
  <si>
    <t>Apoyar proyectos comunitarios de movilidad sostenible</t>
  </si>
  <si>
    <t>Añade tus propias ideas</t>
  </si>
  <si>
    <t>Caminar</t>
  </si>
  <si>
    <t>Acción</t>
  </si>
  <si>
    <t>Notas personales</t>
  </si>
  <si>
    <t>Organización y Planificación del Consumo de Energía</t>
  </si>
  <si>
    <t>Realizar auditoría energética</t>
  </si>
  <si>
    <t>Evaluar el consumo de energía en el hogar y tomar medidas eficientes</t>
  </si>
  <si>
    <t>Apagar la computadora cuando no se usa</t>
  </si>
  <si>
    <t>Evitar dejar la computadora encendida en modo espera</t>
  </si>
  <si>
    <t>Apagar el monitor cuando no se use la computadora (activar el save energy)</t>
  </si>
  <si>
    <t>Reducir el consumo de energía de la computadora</t>
  </si>
  <si>
    <t xml:space="preserve"> Apagar luces al salir de una habitación</t>
  </si>
  <si>
    <t>Reducir el consumo eléctrico al no usar la iluminación</t>
  </si>
  <si>
    <t xml:space="preserve"> Apagar dispositivos no esenciales</t>
  </si>
  <si>
    <t>Desconectar cargadores y dispositivos cuando no se usan</t>
  </si>
  <si>
    <t xml:space="preserve"> Apagar dispositivos en stand-by</t>
  </si>
  <si>
    <t>Desconectar dispositivos electrónicos cuando no se usan</t>
  </si>
  <si>
    <t>Eficiencia Energética</t>
  </si>
  <si>
    <t>Utilizar electrodomésticos con eficiencia energética</t>
  </si>
  <si>
    <t>Elegir dispositivos que cumplan con estándares de eficiencia</t>
  </si>
  <si>
    <t>Usar electrodomésticos fuera de las horas pico</t>
  </si>
  <si>
    <t>Consumir energía en momentos de menor demanda</t>
  </si>
  <si>
    <t>Descongelar alimentos antes de cocinar</t>
  </si>
  <si>
    <t>Reducir el tiempo de cocción y el consumo de energía</t>
  </si>
  <si>
    <t>Limitar el uso del horno</t>
  </si>
  <si>
    <t>Optar por métodos de cocción más eficientes</t>
  </si>
  <si>
    <t xml:space="preserve"> Evitar la apertura frecuente del horno</t>
  </si>
  <si>
    <t>Cocinar varios alimentos a la vez para reducir ciclos de calentamiento</t>
  </si>
  <si>
    <t>Usar bombillas LED</t>
  </si>
  <si>
    <t>Reemplazar bombillas incandescentes por LED</t>
  </si>
  <si>
    <t>Utilizar iluminación natural</t>
  </si>
  <si>
    <t>Aprovechar la luz natural durante el día en lugar de luces artificiales</t>
  </si>
  <si>
    <t xml:space="preserve"> Mejorar el aislamiento</t>
  </si>
  <si>
    <t>Utilizar cortinas térmicas</t>
  </si>
  <si>
    <t>Regulación de la temperatura de la habitación con cortinas adecuadas</t>
  </si>
  <si>
    <t>Cerrar puertas y ventanas al usar calefacción o aire acondicionado</t>
  </si>
  <si>
    <t>Evitar pérdida de calor o frío en la casa</t>
  </si>
  <si>
    <t>Energías Renovables</t>
  </si>
  <si>
    <t>Instalar paneles solares</t>
  </si>
  <si>
    <t>Generar electricidad a partir de energía solar en el hogar</t>
  </si>
  <si>
    <t>Utilizar energía renovable</t>
  </si>
  <si>
    <t>Comprar electricidad de fuentes renovables si está disponible</t>
  </si>
  <si>
    <t>Utilizar calentador de agua solar</t>
  </si>
  <si>
    <t>Calentar agua con energía solar en lugar de electricidad</t>
  </si>
  <si>
    <t>Cambiar de compañía eléctica a una 100% renovable</t>
  </si>
  <si>
    <t>Calefacción y Refrigeración</t>
  </si>
  <si>
    <t>Reducir la temperatura del calentador de agua</t>
  </si>
  <si>
    <t>Bajar la temperatura del calentador para ahorrar energía</t>
  </si>
  <si>
    <t>Instalar termostatos programables / Termometro de estancia</t>
  </si>
  <si>
    <t>Controlar la calefacción y el aire acondicionado de manera eficiente</t>
  </si>
  <si>
    <t>Programar el termostato en invierno ( aspecto legal en empresas - 26º)</t>
  </si>
  <si>
    <t>Reducir la temperatura cuando no estés en casa</t>
  </si>
  <si>
    <t>Programar el termostato en verano ( aspecto legal en empresas - 21º)</t>
  </si>
  <si>
    <t>Aumentar la temperatura cuando no estés en casa</t>
  </si>
  <si>
    <t xml:space="preserve"> Implementar sistemas de automatización del hogar</t>
  </si>
  <si>
    <t>Informarse sobre tarifas energéticas más económicas</t>
  </si>
  <si>
    <t>Utilizar regletas con interruptor para cortar el suministro eléctrico</t>
  </si>
  <si>
    <t>Usar ventiladores en lugar de aire acondicionado cuando sea posible</t>
  </si>
  <si>
    <t>Instalar cabezales de ducha y grifos de bajo flujo</t>
  </si>
  <si>
    <t>Cocinar con ollas de presión y de cocción lenta</t>
  </si>
  <si>
    <t>Utilizar la freidora de aire en lugar del horno cuando sea posible</t>
  </si>
  <si>
    <t>Mantener las puertas del refrigerador cerradas y en buen estado</t>
  </si>
  <si>
    <t>Lavar la ropa con agua fría siempre que sea posible ( y durará más )</t>
  </si>
  <si>
    <t>Secar la ropa al aire libre en lugar de usar la secadora</t>
  </si>
  <si>
    <t>Dieta y Alimentación</t>
  </si>
  <si>
    <t>Limitar el consumo de carne, especialmente de carne de vacuno</t>
  </si>
  <si>
    <t>Reducir el consumo de carne, especialmente de carne de vacuno, que tiene una huella de carbono más alta que otros tipos de carne.</t>
  </si>
  <si>
    <t>Medio</t>
  </si>
  <si>
    <t>Permanente</t>
  </si>
  <si>
    <t>Ciudadano, familia, amigos, comunidad</t>
  </si>
  <si>
    <t>Reducir el consumo de lácteos</t>
  </si>
  <si>
    <t>Disminuir la ingesta de productos lácteos</t>
  </si>
  <si>
    <t>Media</t>
  </si>
  <si>
    <t>Reducir alimentos procesados</t>
  </si>
  <si>
    <t>Evitar alimentos con excesivo procesamiento</t>
  </si>
  <si>
    <t>Evitar comidas rápidas</t>
  </si>
  <si>
    <t>Preferir comidas caseras y saludables</t>
  </si>
  <si>
    <t>Alta</t>
  </si>
  <si>
    <t>Consumir porciones adecuadas</t>
  </si>
  <si>
    <t>Evitar el exceso en las comidas</t>
  </si>
  <si>
    <t>Consumir pescado obtenido mediante pesca sostenible</t>
  </si>
  <si>
    <t>Elegir pescado que se ha capturado de forma sostenible, evitando las especies en peligro o amenazadas.</t>
  </si>
  <si>
    <t>Consumir más vegetales</t>
  </si>
  <si>
    <t>Aumentar la ingesta de frutas y verduras</t>
  </si>
  <si>
    <t>Elegir productos orgánicos</t>
  </si>
  <si>
    <t>Preferir alimentos sin pesticidas o químicos</t>
  </si>
  <si>
    <t>Planificación y Preparación de Comidas</t>
  </si>
  <si>
    <t>Planificación de comidas</t>
  </si>
  <si>
    <t>Organizar las comidas para reducir el desperdicio</t>
  </si>
  <si>
    <t>Cocinar eficientemente</t>
  </si>
  <si>
    <t>Utilizar métodos de cocción que ahorren energía</t>
  </si>
  <si>
    <t>Cocinar más en casa</t>
  </si>
  <si>
    <t>Cocinar más en casa en lugar de comer fuera o pedir comida a domicilio.</t>
  </si>
  <si>
    <t>Apoyo a la Agricultura y Producción Local</t>
  </si>
  <si>
    <t>Cultivar un huerto</t>
  </si>
  <si>
    <t>Producir algunos alimentos en casa</t>
  </si>
  <si>
    <t>Largo plazo</t>
  </si>
  <si>
    <t>Comprar productos locales</t>
  </si>
  <si>
    <t>Prefiere alimentos producidos localmente</t>
  </si>
  <si>
    <t>Consumir productos de temporada (y locales si se puede a la vez)</t>
  </si>
  <si>
    <t>Elegir alimentos que se producen en la zona y que se recogen en su momento óptimo de maduración.</t>
  </si>
  <si>
    <t>Apoyar a la agricultura local</t>
  </si>
  <si>
    <t>Comprar productos de la agricultura local, que suelen tener una huella de carbono más baja que los productos importados.</t>
  </si>
  <si>
    <t>Sostenibilidad y Consumo Responsable</t>
  </si>
  <si>
    <t>Comprar productos de segunda mano para preparación de alimentos</t>
  </si>
  <si>
    <t>Ejemplo: una fregadera, una vajilla, vasos, copas, cubertería.</t>
  </si>
  <si>
    <t>Utilizar bolsas de compra reutilizables</t>
  </si>
  <si>
    <t>Llevar bolsas de compra reutilizables al supermercado en lugar de usar bolsas de plástico desechables.</t>
  </si>
  <si>
    <t>Evitar los productos con un embalaje de plástico excesivo</t>
  </si>
  <si>
    <t>Elegir productos con un embalaje de plástico reducido o, en su caso, optar por productos sin embalaje.</t>
  </si>
  <si>
    <t>Reducir el desperdicio alimentario</t>
  </si>
  <si>
    <t>Planificar las comidas con antelación, cocinar la cantidad adecuada de comida y guardar las sobras adecuadamente.</t>
  </si>
  <si>
    <t>Busca cooperativas de consumo en tu barrio</t>
  </si>
  <si>
    <t>Reducción: Aproximadamente 27 kg de CO2e por cada kg de carne de vacuno no consumido.</t>
  </si>
  <si>
    <t>Reducción: Aproximadamente 3 kg de CO2e por cada litro de leche no consumido.</t>
  </si>
  <si>
    <t>Reducción: Varia mucho, un promedio puede ser 2-5 kg CO2e/kg. por kg de alimento procesado no consumido.</t>
  </si>
  <si>
    <t>Reducción: Variable, pero las comidas rápidas tienden a tener una huella de carbono alta debido a la producción industrial y transporte.</t>
  </si>
  <si>
    <t>Reducción: Puede reducir el desperdicio de alimentos.</t>
  </si>
  <si>
    <t>Reducción:Pescado convencional: 2.5 kg CO2e/kg.  Pescado sostenible 1.5 kg CO2e/kg. Por cada Kg de pescado obtenido mediante pesca sostenible, se reduce 1 kg CO2e/kg.</t>
  </si>
  <si>
    <t>Reducción: Aproximadamente 2-5 kg de CO2e por cada kg de carne sustituido por vegetales.</t>
  </si>
  <si>
    <t>Reducción: Variable.</t>
  </si>
  <si>
    <t>Reducción: puede ahorrar aproximadamente 0.5 kg CO2e por día.</t>
  </si>
  <si>
    <t>Reducción: Similar a comprar productos locales, con un enfoque en sostenibilidad.</t>
  </si>
  <si>
    <t>Reducción: Aproximadamente 0.1-0.2 kg de CO2e por cada bolsa de plástico evitada.</t>
  </si>
  <si>
    <t>Reducción: Variable, pero reducir el plástico disminuye las emisiones de producción y residuos.</t>
  </si>
  <si>
    <t>Moda y Consumo Responsable:</t>
  </si>
  <si>
    <t>Comprar ropa sostenible</t>
  </si>
  <si>
    <t>Elegir prendas de marcas sostenibles y de calidad</t>
  </si>
  <si>
    <t>Ya la aplico</t>
  </si>
  <si>
    <t>Medio plazo ( 3 Meses o más )</t>
  </si>
  <si>
    <t xml:space="preserve"> Apoyar la moda sostenible</t>
  </si>
  <si>
    <t>Comprar ropa de marcas que promuevan la sostenibilidad y la ética en la moda</t>
  </si>
  <si>
    <t>Comprar ropa de segunda mano</t>
  </si>
  <si>
    <t>Adquirir ropa de segunda mano o intercambiarla en lugar de comprar nueva</t>
  </si>
  <si>
    <t>Reciclar ropa</t>
  </si>
  <si>
    <t>Donar o reciclar ropa en lugar de desecharla</t>
  </si>
  <si>
    <t>Mas del 80%</t>
  </si>
  <si>
    <t>Reciclaje y Residuos:</t>
  </si>
  <si>
    <t xml:space="preserve"> Reciclar correctamente</t>
  </si>
  <si>
    <t>Separar y reciclar materiales adecuadamente</t>
  </si>
  <si>
    <t xml:space="preserve"> Compostar los residuos orgánicos</t>
  </si>
  <si>
    <t>Implementar un sistema de compostaje para reducir la cantidad de desechos orgánicos</t>
  </si>
  <si>
    <t>Reducir plásticos</t>
  </si>
  <si>
    <t>Evitar productos de un solo uso y optar por alternativas reutilizables</t>
  </si>
  <si>
    <t>Del 20 al 40%</t>
  </si>
  <si>
    <t>Alimentación:</t>
  </si>
  <si>
    <t>Adoptar una dieta vegetariana o vegana</t>
  </si>
  <si>
    <t>Eliminar o reducir significativamente el consumo de productos de origen animal</t>
  </si>
  <si>
    <t>Utilizar bicicleta o caminar</t>
  </si>
  <si>
    <t>Optar por medios de transporte sostenibles como la bicicleta o caminar en distancias cortas</t>
  </si>
  <si>
    <t>Consumo Responsable y Minimalismo:</t>
  </si>
  <si>
    <t>Reducir el consumo innecesario</t>
  </si>
  <si>
    <t>Evitar compras impulsivas y apostar por productos duraderos.</t>
  </si>
  <si>
    <t>Priorizar la segunda mano y la reutilización</t>
  </si>
  <si>
    <t>Reutilizar o reparar productos antes de comprar nuevos.</t>
  </si>
  <si>
    <t xml:space="preserve">Evitar productos con embalajes innecesarios. </t>
  </si>
  <si>
    <t>Preferir envases biodegradables o reutilizables.</t>
  </si>
  <si>
    <t xml:space="preserve">Considerar la huella de carbono de las compras online. </t>
  </si>
  <si>
    <t>Planificar para minimizar envíos y evitar devoluciones innecesarias.</t>
  </si>
  <si>
    <t xml:space="preserve">Priorizar calidad sobre cantidad. </t>
  </si>
  <si>
    <t>Invertir en productos duraderos.</t>
  </si>
  <si>
    <t xml:space="preserve">Evitar productos no esenciales. </t>
  </si>
  <si>
    <t>Cuestionar si realmente se necesita un nuevo producto.</t>
  </si>
  <si>
    <t>Llevar tus propias bolsas y envases.</t>
  </si>
  <si>
    <t>Evita usar bolsas plásticas desechables al hacer tus compras.</t>
  </si>
  <si>
    <t>Priorizar la segunda mano y la reutilización:</t>
  </si>
  <si>
    <r>
      <t>Comprar productos de segunda mano</t>
    </r>
    <r>
      <rPr>
        <sz val="12"/>
        <color theme="1"/>
        <rFont val="Calibri"/>
        <family val="2"/>
        <scheme val="minor"/>
      </rPr>
      <t>.</t>
    </r>
  </si>
  <si>
    <t>Ropa, muebles, libros y tecnología de segunda mano son opciones más sostenibles.</t>
  </si>
  <si>
    <t xml:space="preserve">Reciclar y reutilizar ropa y objetos. </t>
  </si>
  <si>
    <t>Repara o transforma productos antes de desecharlos.</t>
  </si>
  <si>
    <t>Consumir Menos y Mejor:</t>
  </si>
  <si>
    <t xml:space="preserve">Reparar en lugar de reemplazar. </t>
  </si>
  <si>
    <t>Arreglar productos antes de desecharlos.</t>
  </si>
  <si>
    <t xml:space="preserve">Intercambiar productos. </t>
  </si>
  <si>
    <t>Participar en intercambios o compartir recursos.</t>
  </si>
  <si>
    <t>Evitar Productos de Un Solo Uso:</t>
  </si>
  <si>
    <t xml:space="preserve">Sustituir desechables por reutilizables. </t>
  </si>
  <si>
    <t>Usar botellas, bolsas, cubiertos y más reutilizables.</t>
  </si>
  <si>
    <t xml:space="preserve"> Favorecer productos con ciclo de vida sostenible:</t>
  </si>
  <si>
    <t>Planificar las compras:</t>
  </si>
  <si>
    <t>Involucrarse en la comunidad:</t>
  </si>
  <si>
    <t xml:space="preserve"> Digitalizar en lugar de consumir material físico:</t>
  </si>
  <si>
    <t>Apoyar productos y marcas con certificaciones ecológicas:</t>
  </si>
  <si>
    <t>Comprar en tiendas que promuevan la sostenibilidad:</t>
  </si>
  <si>
    <t>Informarse antes de comprar:</t>
  </si>
  <si>
    <t>Reducción de Productos Desechables y Limpieza</t>
  </si>
  <si>
    <t>Reducir el uso de productos desechables</t>
  </si>
  <si>
    <t>Evitar el uso de utensilios, platos y vasos desechables</t>
  </si>
  <si>
    <t>Reducir el uso de productos de limpieza tóxicos</t>
  </si>
  <si>
    <t>Optar por productos de limpieza ecológicos y reutilizables</t>
  </si>
  <si>
    <t>Reducir el uso de productos de limpieza desechables</t>
  </si>
  <si>
    <t>Optar por trapos y esponjas reutilizables en lugar de productos desechables</t>
  </si>
  <si>
    <t xml:space="preserve"> Evitar el consumo de agua embotellada</t>
  </si>
  <si>
    <t>Beber agua del grifo o utilizar una botella reutilizable</t>
  </si>
  <si>
    <t>Evitar el uso de pajitas de plástico</t>
  </si>
  <si>
    <t>Optar por pajitas reutilizables o no usar pajitas en absoluto</t>
  </si>
  <si>
    <t>Utilizar papel reciclado</t>
  </si>
  <si>
    <t>Comprar papel y productos hechos con papel reciclado</t>
  </si>
  <si>
    <t>Utilizar pañuelos de tela</t>
  </si>
  <si>
    <t>Sustituir pañuelos de papel por pañuelos de tela</t>
  </si>
  <si>
    <t>Usar pañales de tela</t>
  </si>
  <si>
    <t>Optar por pañales de tela en lugar de pañales desechables</t>
  </si>
  <si>
    <t>Usar servilletas de tela</t>
  </si>
  <si>
    <t>Reemplazar servilletas de papel por servilletas de tela</t>
  </si>
  <si>
    <t>Compras y Productos a Granel</t>
  </si>
  <si>
    <t>Comprar productos a granel</t>
  </si>
  <si>
    <t>Comprar productos reciclados</t>
  </si>
  <si>
    <t>Elegir productos hechos con materiales reciclados</t>
  </si>
  <si>
    <t>Reciclaje y Reutilización</t>
  </si>
  <si>
    <t>Reciclar aparatos electrónicos</t>
  </si>
  <si>
    <t>Llevar dispositivos electrónicos antiguos a centros de reciclaje</t>
  </si>
  <si>
    <t>Puntual</t>
  </si>
  <si>
    <t>Reutilizar envases de vidrio</t>
  </si>
  <si>
    <t>Reutilizar botellas y frascos de vidrio en lugar de desecharlos</t>
  </si>
  <si>
    <t>Practicar el reciclaje creativo: objetos</t>
  </si>
  <si>
    <t>Dar nueva vida a objetos antiguos o en desuso a través de la creatividad</t>
  </si>
  <si>
    <t>Practicar el reciclaje creativo: materiales</t>
  </si>
  <si>
    <t>Transformar materiales reciclados en objetos útiles y decorativos</t>
  </si>
  <si>
    <t>Donar ropa y objetos</t>
  </si>
  <si>
    <t>Contribuir con donaciones a organizaciones benéficas en lugar de desechar artículos</t>
  </si>
  <si>
    <t>Reciclar pilas y baterías</t>
  </si>
  <si>
    <t>Llevar pilas y baterías agotadas a puntos de reciclaje designados</t>
  </si>
  <si>
    <t>Utilizar recipientes reutilizables para llevar alimentos</t>
  </si>
  <si>
    <t>Evitar recipientes desechables al llevar comida para llevar</t>
  </si>
  <si>
    <t>Optimización en la Gestión de Residuos Industriales</t>
  </si>
  <si>
    <t>Implementación de procesos de manufactura limpia para reducir la generación de residuos.</t>
  </si>
  <si>
    <t>Reutilización de subproductos industriales como materias primas en otros procesos.</t>
  </si>
  <si>
    <t>Auditorías de residuos para identificar y minimizar fuentes de desechos.</t>
  </si>
  <si>
    <t>Incentivación del Compostaje Doméstico y Comunitario</t>
  </si>
  <si>
    <t>Fomento de la creación de compostaje en comunidades y hogares.</t>
  </si>
  <si>
    <t>Programas de capacitación para enseñar técnicas efectivas de compostaje.</t>
  </si>
  <si>
    <t>Creación de redes comunitarias para compartir compost y recursos.</t>
  </si>
  <si>
    <t>Implementación de Políticas de Cero Residuos</t>
  </si>
  <si>
    <t>Creación de programas empresariales y municipales de cero residuos.</t>
  </si>
  <si>
    <t>Reducción de Desperdicio Alimentario</t>
  </si>
  <si>
    <t>Colaboración con bancos de alimentos para la redistribución de excedentes.</t>
  </si>
  <si>
    <t>Promoción del Consumo Responsable de Embalajes</t>
  </si>
  <si>
    <t>Implementación de políticas para la reducción de embalajes innecesarios en productos.</t>
  </si>
  <si>
    <t>Incentivación de la devolución y reutilización de envases en tiendas y supermercados.</t>
  </si>
  <si>
    <t>Actividades Comunitarias de Limpieza y Reciclaje</t>
  </si>
  <si>
    <t>Organizar limpiezas locales.</t>
  </si>
  <si>
    <t>Coordinar eventos de limpieza en áreas comunitarias</t>
  </si>
  <si>
    <t>1 día</t>
  </si>
  <si>
    <t>Promover el reciclaje.</t>
  </si>
  <si>
    <t>Educar a la comunidad sobre la importancia del reciclaje</t>
  </si>
  <si>
    <t>Promover la reducción de plásticos.</t>
  </si>
  <si>
    <t>Iniciar campañas locales para reducir el uso de plásticos</t>
  </si>
  <si>
    <t>Días</t>
  </si>
  <si>
    <t>Realizar proyectos de reciclaje de electrónicos.</t>
  </si>
  <si>
    <t>Organizar colectas de dispositivos electrónicos para reciclaje</t>
  </si>
  <si>
    <t>Organizar intercambios de ropa y objetos.</t>
  </si>
  <si>
    <t>Facilitar eventos de intercambio de ropa y objetos usados</t>
  </si>
  <si>
    <t>Proyectos Comunitarios de Eficiencia Energética y Tecnologías Verdes</t>
  </si>
  <si>
    <t>Participar en proyectos de eficiencia energética</t>
  </si>
  <si>
    <t>Colaborar en iniciativas para mejorar la eficiencia energética de la comunidad</t>
  </si>
  <si>
    <t>Colaborar en proyectos de energía renovable</t>
  </si>
  <si>
    <t>Unirse a proyectos de energía solar comunitaria</t>
  </si>
  <si>
    <t>Promover la adopción de tecnologías verdes.</t>
  </si>
  <si>
    <t>Compartir información sobre tecnologías eco-amigables</t>
  </si>
  <si>
    <t>Luchar contra la contaminación lumínica.</t>
  </si>
  <si>
    <t>Participar en iniciativas para reducir la contaminación lumínica</t>
  </si>
  <si>
    <t>Iniciativas Comunitarias de Conservación y Reforestación</t>
  </si>
  <si>
    <t>Apoyar la creación de espacios verdes.</t>
  </si>
  <si>
    <t>Participar en la creación y mantenimiento de parques y áreas verdes</t>
  </si>
  <si>
    <t>Plantar árboles.</t>
  </si>
  <si>
    <t>Organizar jornadas de plantación de árboles</t>
  </si>
  <si>
    <t>Participar en proyectos de reforestación.</t>
  </si>
  <si>
    <t>Unirse a proyectos de reforestación locales</t>
  </si>
  <si>
    <t>Organizar actividades de reforestación urbana.</t>
  </si>
  <si>
    <t>Plantar árboles y arbustos en espacios urbanos</t>
  </si>
  <si>
    <t>Fomento del Consumo Local y la Agricultura Urbana</t>
  </si>
  <si>
    <t>Fomentar la agricultura urbana.</t>
  </si>
  <si>
    <t>Apoyar la creación de huertos comunitarios</t>
  </si>
  <si>
    <t>Crear un grupo de compras locales.</t>
  </si>
  <si>
    <t>Fomentar la compra de productos locales</t>
  </si>
  <si>
    <t>Fomentar la compra de alimentos locales y orgánicos.</t>
  </si>
  <si>
    <t>Promover la compra de alimentos de productores locales y orgánicos</t>
  </si>
  <si>
    <t>Apoyar a las tiendas locales y pequeñas empresas.</t>
  </si>
  <si>
    <t>Comprar en negocios locales para fomentar la economía comunitaria</t>
  </si>
  <si>
    <t>Promoción de la Movilidad Sostenible en la Comunidad</t>
  </si>
  <si>
    <t>Impulsar el uso de bicicletas.</t>
  </si>
  <si>
    <t>Organizar eventos para promover el ciclismo</t>
  </si>
  <si>
    <t>Promover la movilidad sostenible.</t>
  </si>
  <si>
    <t>Abogar por opciones de transporte sostenible en la comunidad</t>
  </si>
  <si>
    <t>Concienciación y Educación Ambiental</t>
  </si>
  <si>
    <t>Realizar charlas ambientales.</t>
  </si>
  <si>
    <t>Ofrecer charlas y talleres sobre temas ambientales</t>
  </si>
  <si>
    <t>Horas</t>
  </si>
  <si>
    <t>Colaborar en campañas de concienciación ambiental.</t>
  </si>
  <si>
    <t>Participar en campañas de sensibilización ambiental</t>
  </si>
  <si>
    <t>Apoyar a organizaciones ambientales.</t>
  </si>
  <si>
    <t>Voluntariarse o donar a organizaciones de conservación</t>
  </si>
  <si>
    <t>Organizar ferias ecológicas.</t>
  </si>
  <si>
    <t>Realizar ferias con productos y servicios sostenibles</t>
  </si>
  <si>
    <t>Conservación del Agua</t>
  </si>
  <si>
    <t>Realizar campañas de ahorro de agua</t>
  </si>
  <si>
    <t>Educar a la comunidad sobre el uso responsable del agua</t>
  </si>
  <si>
    <t>Ud también puede descubrir nuevas formas de ser más sostenible, añádalas a la lista para practicarlas</t>
  </si>
  <si>
    <t>Si se organiza una limpieza de playas, recogiendo 500 kg de basura plástica se reducen aproximadamente 500 kg de CO₂ evitados.</t>
  </si>
  <si>
    <r>
      <t>Si u</t>
    </r>
    <r>
      <rPr>
        <sz val="12"/>
        <color theme="1"/>
        <rFont val="Calibri"/>
        <family val="2"/>
        <scheme val="minor"/>
      </rPr>
      <t>na campaña comunitaria aumenta la tasa de reciclaje del papel en un 3% en una ciudad. se reciclan 100 toneladas adicionales de papel, se evitan 17 toneladas de CO₂ (1.7 kg de CO₂ evitados por cada kg de papel reciclado).</t>
    </r>
  </si>
  <si>
    <t>Una campaña escolar para eliminar las botellas de agua de plástico, que reduzca  1000 unidades al año. Cada botella evita 0.08 kg de CO₂, y supone una reducción de 80 kg de CO₂ al año.</t>
  </si>
  <si>
    <t>Un barrio organiza una recolección anual de dispositivos electrónicos, reciclando 200 kg,  si cada kg evita 10 kg de CO₂ , se pueden evitar 2.000 kg de CO₂.</t>
  </si>
  <si>
    <t>Si un intercambio de ropa en una comunidad evita la compra de 50 nuevas prendas y  con una huella media de 10 kg de CO₂ por prenda,  se evitan  500 kg de CO₂.</t>
  </si>
  <si>
    <t>Un grupo instala 10 lámparas LED en lugar de bombillas incandescentes,  Cada una puede ahorrar 0.5 kg de CO₂ por año. La reducción sería de 5 kg de CO₂ al año.</t>
  </si>
  <si>
    <t>Una comunidad instala paneles solares en un edificio público y reduce la energía convencional en 10.000 kWh al año. Se evitan  4.000 kg de CO₂ al año (0.4 kg de CO₂/kWh)</t>
  </si>
  <si>
    <t>Si se impulsa la adopción de electrodomésticos de bajo consumo en 50 hogares.  Cada hogar reduce  1.000 kWh al año, da reducción total de 20.000 kg de CO₂. (0.4 kg de CO₂/kWh)</t>
  </si>
  <si>
    <t>Una ciudad instala luces LED para reducir la contaminación lumínica en 50%. Se reduce el consumo energético en un 30%.</t>
  </si>
  <si>
    <t>Si se transforma un terreno abandonado en parque, plantando 100 árboles. Cada árbol absorbe aprox. 22 kg de CO₂ al año, lo que significa una reducción de 2.200 kg de CO₂/año.</t>
  </si>
  <si>
    <t>Similar al anterior</t>
  </si>
  <si>
    <t>Una campaña planta 50 árboles en una ciudad. Estos absorberán aproximadamente 1.100 kg de CO₂ al año de adultos.</t>
  </si>
  <si>
    <t>Un huerto urbano que produce 100 kg de vegetales al año  Evita la emisión de 150 kg de CO₂ por el transporte y producción industrial de alimentos</t>
  </si>
  <si>
    <t xml:space="preserve"> Unos vecinos compran directamente a agricultores locales, se evita 1 tonelada de productos importados. Aproximadamente 1.000 kg de CO₂ en emisiones de transporte.</t>
  </si>
  <si>
    <t>Si 100 personas cambian 5 km diarios de conducción por bicicletas, se podrían evitar 7.500 kg de CO₂ al año.</t>
  </si>
  <si>
    <t>Una campaña en una ciudad reduce el uso de automóviles en 50.000 km al año. Se evitan 10.000 kg de CO₂ al año (0.2 kg de CO₂ por km).</t>
  </si>
  <si>
    <t>Si una campaña de charlas logra que 100 hogares reduzcan su consumo en 200 kWh al año, se ahorran 20.000 kWh, lo que equivale a 8.000 kg de CO₂.  (0.4 kg de CO₂/kWh)</t>
  </si>
  <si>
    <t xml:space="preserve"> Una empresa dona fondos para reforestar 100 hectáreas de bosque tropical, podría capturar aproximadamente 2.200.000 kg de CO₂ al año.</t>
  </si>
  <si>
    <t xml:space="preserve"> Si la feria reduce 100 kg de productos procesados, se podrían evitar 500 kg de CO₂ (5 kg de CO₂ por kg de procesado).</t>
  </si>
  <si>
    <t xml:space="preserve"> Si cada hogar reduce su consumo en 100 litros al año, se evitan 150 kg de CO₂ relacionados con el tratamiento y bombeo de agua.</t>
  </si>
  <si>
    <t>Comunidad</t>
  </si>
  <si>
    <t>Kilogramos de CO2 por persona en España &gt; actualizar para recalcular</t>
  </si>
  <si>
    <t>Cambiar celda B38</t>
  </si>
  <si>
    <t>Datos provenientes de estudio MyCO2 ( la Asociacion es embajadora del proyecto)</t>
  </si>
  <si>
    <t>Actividad</t>
  </si>
  <si>
    <t>Kg CO2eq por persona año</t>
  </si>
  <si>
    <t>% S / Total based in FR model</t>
  </si>
  <si>
    <t>Spain Kg CO2eq por persona año</t>
  </si>
  <si>
    <t>Kilogramos de CO2 a comparar
Ponga dato: Kg de Carbono de la organización a comparar</t>
  </si>
  <si>
    <t>Las toneladas de la orgnizaciñon equivalen a la actividad
 de XX personas haciendo...</t>
  </si>
  <si>
    <t>Yo me Desplazo</t>
  </si>
  <si>
    <t xml:space="preserve">CO2 generado por los viajes de </t>
  </si>
  <si>
    <t>personas en todo tipo transporte, coche avion</t>
  </si>
  <si>
    <t>Coche</t>
  </si>
  <si>
    <t>personas en coche</t>
  </si>
  <si>
    <t>Avión</t>
  </si>
  <si>
    <t>españoles en avion al año</t>
  </si>
  <si>
    <t>Otros medios</t>
  </si>
  <si>
    <t>Yo me Alimento</t>
  </si>
  <si>
    <t>CO2 de la alimentacion de</t>
  </si>
  <si>
    <t xml:space="preserve"> personas al año</t>
  </si>
  <si>
    <t>Carne</t>
  </si>
  <si>
    <t xml:space="preserve">CO2 generado por la carne consumida por </t>
  </si>
  <si>
    <t>personas al año</t>
  </si>
  <si>
    <t>Bebidas</t>
  </si>
  <si>
    <t xml:space="preserve">CO2 generado por la bebida consumida por </t>
  </si>
  <si>
    <t>Leche y Huevos</t>
  </si>
  <si>
    <t>Frutas y Legumbres</t>
  </si>
  <si>
    <t>Pescado</t>
  </si>
  <si>
    <t xml:space="preserve">CO2 generado por el pescado consumida por </t>
  </si>
  <si>
    <t>Otros</t>
  </si>
  <si>
    <t>Yo me alojo en una casa</t>
  </si>
  <si>
    <t xml:space="preserve">CO2 generado por la calefaccion consumida por </t>
  </si>
  <si>
    <t>Gas / Gasolina / Fuel</t>
  </si>
  <si>
    <t>Construccion</t>
  </si>
  <si>
    <t>Electricidad</t>
  </si>
  <si>
    <t>Desechos, Agua</t>
  </si>
  <si>
    <t>Yo compro</t>
  </si>
  <si>
    <t>Mi casa</t>
  </si>
  <si>
    <t>Alquileres</t>
  </si>
  <si>
    <t>Electronica, Telecoms</t>
  </si>
  <si>
    <t>CO2 generado por la creacion de electronica que  gastan</t>
  </si>
  <si>
    <t>Ropa</t>
  </si>
  <si>
    <t>CO2 generado por la creacion de la ropa que gastan</t>
  </si>
  <si>
    <t>Seguros y Banca</t>
  </si>
  <si>
    <t>Sanidad, Educación</t>
  </si>
  <si>
    <t>Gasto público</t>
  </si>
  <si>
    <t>Administración y defensa</t>
  </si>
  <si>
    <t>Enseñanza</t>
  </si>
  <si>
    <t>Salud</t>
  </si>
  <si>
    <t>Infraestructuras</t>
  </si>
  <si>
    <t>Deport, Cultura</t>
  </si>
  <si>
    <t>Base Spain</t>
  </si>
  <si>
    <t>Energía y Medio Ambiente</t>
  </si>
  <si>
    <t>CO2 t per capita [+]</t>
  </si>
  <si>
    <t>Fecha</t>
  </si>
  <si>
    <t>CO2 Totales Mt</t>
  </si>
  <si>
    <t>CO2 t per capita</t>
  </si>
  <si>
    <t>Puedo aplicarla</t>
  </si>
  <si>
    <t>% en que puedo aplicarla</t>
  </si>
  <si>
    <t>---</t>
  </si>
  <si>
    <t>Tiempo</t>
  </si>
  <si>
    <t>Del 40 al 60%</t>
  </si>
  <si>
    <t>Del 60 al 80%</t>
  </si>
  <si>
    <t>Largo plazo ( 12 Meses o más )</t>
  </si>
  <si>
    <t>Define el tiempo necesario para implementar la medida.</t>
  </si>
  <si>
    <t>Indica si es posible aplicar la medida.</t>
  </si>
  <si>
    <t>Resumen de tu plan</t>
  </si>
  <si>
    <t>Resumen de tu plan'!A1</t>
  </si>
  <si>
    <t>Datos de emisión de CO2 en el día a día de una persona en España</t>
  </si>
  <si>
    <t>Crear un diario de emisiones.</t>
  </si>
  <si>
    <t>Mantener un registro diario de tus viajes y sus emisiones para identificar áreas de mejora.</t>
  </si>
  <si>
    <t>Realizar un plan de movilidad semanal.</t>
  </si>
  <si>
    <t>Planificar y combinar viajes para reducir el número total de desplazamientos necesarios.</t>
  </si>
  <si>
    <t>Acción nº</t>
  </si>
  <si>
    <t>Adoptar un “Día del Transporte Público”.</t>
  </si>
  <si>
    <t>Fomentar el uso del taxi compartido.</t>
  </si>
  <si>
    <t>Desarrollar zonas de encuentro para compartir coches.</t>
  </si>
  <si>
    <t>Utilizar neumáticos de baja resistencia.</t>
  </si>
  <si>
    <t>Rellenar las ruedas de tu vehículo con nitrógeno.</t>
  </si>
  <si>
    <t>Utilización combinada de transporte público-transporte privado ( intermodal )</t>
  </si>
  <si>
    <t xml:space="preserve">Buscar estaciones de recarga para vehículos eléctricos en estaciones de transporte públicos y combinar medios de transporte </t>
  </si>
  <si>
    <t>Sustituir el uso del avión por otros transportes.</t>
  </si>
  <si>
    <t>Utilizar servicios de entrega sostenibles.</t>
  </si>
  <si>
    <t>Optar por servicios de entrega a domicilio que utilicen vehículos eléctricos o bicicletas.</t>
  </si>
  <si>
    <t>Emplear neumáticos que reduzcan la resistencia al rodamiento para mejorar la eficiencia de combustible.</t>
  </si>
  <si>
    <t>Compartir viajes en taxi con otros usuarios para reducir las emisiones por pasajero.</t>
  </si>
  <si>
    <t>Utilizar caminatas en lugar de transportes motorizados para distancias cortas.</t>
  </si>
  <si>
    <t>Mejorar el rendimiento del combustible y la duración de los neumáticos.</t>
  </si>
  <si>
    <t>Designar un día semanal para usar únicamente transporte público.</t>
  </si>
  <si>
    <t>Crear puntos especificos para  facilitar el uso compartido de vehículos entre personas.</t>
  </si>
  <si>
    <t>Optar por medios de transporte con menor volumen de emisiones: tren, barco, autobuses, etc. en lugar de vuelos cortos.</t>
  </si>
  <si>
    <t>Acciones del grupo de Transporte</t>
  </si>
  <si>
    <t xml:space="preserve">Cada usuario podrá revisar estas opciones y seleccionar las medidas que puede implementar, el grado en el que puede llevarlas a cabo, su coste previsible y la cantidad de emisiones que puede eliminar con cada acción, creando su propio Plan de reducción. </t>
  </si>
  <si>
    <t xml:space="preserve">Como se calcula la reducción al realizar la acción </t>
  </si>
  <si>
    <t>Reducción en kms X factor de emisión del vehículo (g CO2/km)</t>
  </si>
  <si>
    <t>Kms automóvil  sustituidos por transporte público X (emisiones transporte privado - emisiones transporte público)</t>
  </si>
  <si>
    <t>Como en el anterior,  medir los viajes  que se sustituyen por transporte público y calcular la diferencia de emisiones</t>
  </si>
  <si>
    <t>Medir la reducción del tiempo de viaje y de combustible al evitar tráfico. Usar el consumo promedio de combustible con tráfico y sin tráfico.</t>
  </si>
  <si>
    <t>Entre un 5% y 10% menos de combustible. Estima la mejora en eficiencia de combustible (l/100 km) y multiplíca por los kms recorridos.</t>
  </si>
  <si>
    <t>Pueden reducir el consumo entre un 3% y 5%. Con este porcentaje calcula la reducción en emisiones.</t>
  </si>
  <si>
    <t>Una presión correcta ahorra un 1-3% de combustible, reduciendo las emisiones proporcionalmente.</t>
  </si>
  <si>
    <t xml:space="preserve"> La conducción suave reduce el consumo de combustible hasta un 30%, calcula el ahorro en función de los kilómetros recorridos.</t>
  </si>
  <si>
    <t>Suma los kilómetros evitados y multiplícalo por las emisiones por km del vehículo.</t>
  </si>
  <si>
    <t>Calcula la reducción en viajes y su impacto en emisiones al compartir coche.</t>
  </si>
  <si>
    <t>No tiene reducción directa, pero ayuda a identificar hábitos para optimizar la movilidad y reducir la huella.</t>
  </si>
  <si>
    <t xml:space="preserve"> Similar al diario, facilita la planificación para reducir viajes innecesarios y ahorrar combustible.</t>
  </si>
  <si>
    <t>Calcula los viajes  que se sustituyen por transporte público y calcular la diferencia de emisiones</t>
  </si>
  <si>
    <t xml:space="preserve"> Similar a usar transporte público, calcula las emisiones evitadas en ese día.</t>
  </si>
  <si>
    <t>Se mide a largo plazo con la eficiencia energética de los nuevos vehículos.</t>
  </si>
  <si>
    <t xml:space="preserve"> Optimiza el tiempo y combustible del transporte público, pero requiere datos locales para medirlo.</t>
  </si>
  <si>
    <t>Medir la diferencia en kilómetros recorridos respecto al uso exclusivo de vehículos privados</t>
  </si>
  <si>
    <t>Multiplica los kilómetros ahorrados por el número de pasajeros y calcula la reducción en emisiones.</t>
  </si>
  <si>
    <t xml:space="preserve"> Similar al carpooling, mide la diferencia en viajes individuales y calcula las emisiones evitadas.</t>
  </si>
  <si>
    <t xml:space="preserve"> Se debe medir la reducción en desplazamientos individuales mediante la reducción de viajes solitarios.</t>
  </si>
  <si>
    <t xml:space="preserve"> Calcula las emisiones evitadas en base a la comparación con un vehículo de combustión.</t>
  </si>
  <si>
    <t>Estima el ahorro de combustible por km recorrido y calcula la reducción de CO2.</t>
  </si>
  <si>
    <t>Calcula las emisiones evitadas usando un vehículo más eficiente.</t>
  </si>
  <si>
    <t>Calcula los kilómetros en bicicleta y las emisiones evitadas al no usar un automóvil.</t>
  </si>
  <si>
    <t>No tiene reducción directa, pero ayuda a modificar hábitos para optimizar la movilidad y reducir la huella.</t>
  </si>
  <si>
    <t>Calcula los kms evitados y multiplícalo por las emisiones por km del vehículo.</t>
  </si>
  <si>
    <t>Calcula las emisiones evitadas comparando el viaje en avión con barco, tren o autobús.</t>
  </si>
  <si>
    <t>Calcula las emisiones evitadas al optar por opciones de entrega sostenible.</t>
  </si>
  <si>
    <t>No tiene reducción directa, pero ayuda a optimizar la movilidad y reducir la huella.</t>
  </si>
  <si>
    <t>Acciones del grupo Consumo de Energía en el Hogar</t>
  </si>
  <si>
    <t>Eficiencia en actividades domésticas.</t>
  </si>
  <si>
    <t xml:space="preserve"> Reparar fugas de agua rápidamente</t>
  </si>
  <si>
    <t>Añade tus propias ideas y llevalas a "Mis ideas"</t>
  </si>
  <si>
    <t xml:space="preserve">Automatizar la gestión de energía en el hogar (luces, calefacción, etc.) </t>
  </si>
  <si>
    <t xml:space="preserve"> Comparar tarifas y cambiar a la más eficiente.</t>
  </si>
  <si>
    <t xml:space="preserve"> Evitar consumo en stand-by.</t>
  </si>
  <si>
    <t xml:space="preserve">Ciudadano. </t>
  </si>
  <si>
    <t>Contratar electricidad verde.</t>
  </si>
  <si>
    <t xml:space="preserve">Ciudadano, Familia. </t>
  </si>
  <si>
    <t xml:space="preserve">Reducir el consumo energético en refrigeración. </t>
  </si>
  <si>
    <t>Ciudadano.</t>
  </si>
  <si>
    <t xml:space="preserve"> Reducir el consumo de agua en el hogar. </t>
  </si>
  <si>
    <t>Evitar el desperdicio de agua en el hogar</t>
  </si>
  <si>
    <t>Ahorrar energía en la cocina.</t>
  </si>
  <si>
    <t>Ciudadano, Familia.</t>
  </si>
  <si>
    <t xml:space="preserve"> Cocinar con menos energía.</t>
  </si>
  <si>
    <t xml:space="preserve"> Ciudadano.</t>
  </si>
  <si>
    <t xml:space="preserve"> Mejorar la eficiencia del electrodoméstico.</t>
  </si>
  <si>
    <t>Ahorrar energía en el lavado de ropa.</t>
  </si>
  <si>
    <t xml:space="preserve">Reducir el uso de energía en el secado de ropa. </t>
  </si>
  <si>
    <t>Es el primer paso para identificar mejoras en eficiencia energética, pero no reduce emisiones.</t>
  </si>
  <si>
    <t>Encendida sin uso: N horas/día * 365 días/año * 100 W / 1000 = X kWh. Apagada y enchufada: N horas/día * 365 días/año * 5 W / 1000 = Y kWh. </t>
  </si>
  <si>
    <t>Para calcular CO2 emitido  en ambos casos multiplicar por F. conversión 0,18. Ver la diferencia. En € multiplicar Kwh por 0,122 €/Kwh</t>
  </si>
  <si>
    <t>Si un monitor consume 30 W y se apaga 1 hora al día: 30 W * 1 hora/día * 365 días/año / 1000 = 10.95 kWh. </t>
  </si>
  <si>
    <r>
      <t>CO₂ evitado</t>
    </r>
    <r>
      <rPr>
        <sz val="12"/>
        <rFont val="Calibri"/>
        <family val="2"/>
        <scheme val="minor"/>
      </rPr>
      <t>: 10.95 kWh * 0.18 = 1.97 kg CO₂. En €</t>
    </r>
    <r>
      <rPr>
        <sz val="12"/>
        <color theme="1"/>
        <rFont val="Calibri"/>
        <family val="2"/>
        <scheme val="minor"/>
      </rPr>
      <t>: 10.95 kWh * 0.122 €/kWh = 1.33 €.</t>
    </r>
  </si>
  <si>
    <t>Igual que en el caso anterior, si apagas una luz de 30 W durante 1 hora/día: CO₂ evitado: 10.95 kWh * 0.18 = 1.97 kg CO₂ y supone un ahorro 10.95 kWh * 0.122 €/kWh = 1.33 €.</t>
  </si>
  <si>
    <t>Si estos dispositivos consumen 30w en una hora al día, igual que el anterior</t>
  </si>
  <si>
    <t>Consumo ahorrado (kWh): Z kWh/año. CO₂ evitado: Z kWh * 0.18 = 0,18Z kg CO₂. Ahorro: Z kWh * 0.122 €/kWh = 0,122Z €. </t>
  </si>
  <si>
    <t>Id anterior</t>
  </si>
  <si>
    <t>No genera una reducción directa de emisiones de CO₂, pero mejora la eficiencia de la red.</t>
  </si>
  <si>
    <t>Si reduce el uso del horno en 1h, 2000 W * 1 hora = 2 kWh. CO₂ evitado: 2 kWh * 0.18 = 0.36 kg CO₂. Ahorro: 2 kWh * 0.122 €/kWh = 0.24 €.</t>
  </si>
  <si>
    <t>Similar al anterior, teniendo en cuenta el tiempo de reducción.</t>
  </si>
  <si>
    <t xml:space="preserve"> Reducir ciclos de calentamiento, no genera un cálculo exacto pero el ahorro sería similar a limitar el uso</t>
  </si>
  <si>
    <t>Compara una bombilla incandescente (100 W) frente a una LED (15 W), 3 h/día. Incandescente: 100 W * 3 h/d * 365/ 1000 = 109.5 kWh/año. LED (15W) = 16.42 kWh/año. Diferencia: 93.08 kWh/año. CO₂ evitado: 93.08 * 0.18 = 16.75 kg CO₂.: 93.08 * 0.122 €/kWh = 11.36 €.</t>
  </si>
  <si>
    <t>Depende de  las mejoras, puede reducir el uso de calefacción y aire acondicionado en 500-1000 kWh/año.</t>
  </si>
  <si>
    <r>
      <rPr>
        <sz val="12"/>
        <color theme="1"/>
        <rFont val="Calibri"/>
        <family val="2"/>
        <scheme val="minor"/>
      </rPr>
      <t xml:space="preserve">Las cortinas térmicas ayudan a mantener la temperatura interna, lo que puede reducir la climatización en un </t>
    </r>
    <r>
      <rPr>
        <b/>
        <sz val="12"/>
        <color theme="1"/>
        <rFont val="Calibri"/>
        <family val="2"/>
        <scheme val="minor"/>
      </rPr>
      <t>5-10%</t>
    </r>
    <r>
      <rPr>
        <sz val="12"/>
        <color theme="1"/>
        <rFont val="Calibri"/>
        <family val="2"/>
        <scheme val="minor"/>
      </rPr>
      <t xml:space="preserve"> en climas moderados.</t>
    </r>
  </si>
  <si>
    <r>
      <rPr>
        <sz val="12"/>
        <color theme="1"/>
        <rFont val="Calibri"/>
        <family val="2"/>
        <scheme val="minor"/>
      </rPr>
      <t xml:space="preserve">Determina la energía (en kWh)  utilizada al año en calefacción o refrigeración. Aplica el </t>
    </r>
    <r>
      <rPr>
        <b/>
        <sz val="12"/>
        <color theme="1"/>
        <rFont val="Calibri"/>
        <family val="2"/>
        <scheme val="minor"/>
      </rPr>
      <t>5-10%</t>
    </r>
    <r>
      <rPr>
        <sz val="12"/>
        <color theme="1"/>
        <rFont val="Calibri"/>
        <family val="2"/>
        <scheme val="minor"/>
      </rPr>
      <t xml:space="preserve"> de reducción al consumo total. Multiplica los kwh/año obtenidos por 0,18 y 0,122 para saber CO" evitados y ahorro</t>
    </r>
  </si>
  <si>
    <t>Similar a mejorar el aislamiento.</t>
  </si>
  <si>
    <t>Depende de su capacidad. Si sustituimos la electricidad de la red (0.18 kg CO₂/kWh), podrías evitar hasta 1000 kg de CO₂ al año.El ahorro dependerá del porcentaje de la energía solar utilizada .</t>
  </si>
  <si>
    <t>Si toda tu electricidad proviene de fuentes renovables, eliminas el 100% de las emisiones de tu consumo eléctrico, el factor de emisión de energía renovable es cero.</t>
  </si>
  <si>
    <t>Similar al uso de energia renovable</t>
  </si>
  <si>
    <t>Si el calentador solar sustituye el 100% del consumo eléctrico, podrías evitar todo el CO₂ emitido en este concepto (0,18 factor de emisión).</t>
  </si>
  <si>
    <t>Calcula los kwh que puedes evitar al reducir la temperatura unos grados. Usando el factor de emisión (0.18 kg CO₂/kWh), obtienes los kg CO₂ evitados. El ahorro sería ( kWh evitados * 0.122 €/kWh).</t>
  </si>
  <si>
    <t>Los termostatos programables pueden reducir el consumo de calefacción o aire acondicionado en un 10-20%. Si tu consumo es de 1500-2000 kWh al año, un ahorro del 10% significaría 150-200 kWh.  hasta 150 kg CO₂ y un ahorro de 91.50 € al año.</t>
  </si>
  <si>
    <t>Cálculo similar al anterior.</t>
  </si>
  <si>
    <t xml:space="preserve"> Un ventilador consume aprox. 50 W frente a los 1000 W de un aire acondicionado. Si lo usas  4 horas al día  100 días, ahorras 380 kWh, una reducción de 15-30 kg CO₂ y un ahorro de hasta 18 €.</t>
  </si>
  <si>
    <t>Similar a instalar termostatos programables</t>
  </si>
  <si>
    <t>Reduce aprox. 15-30% de calefacción de agua.</t>
  </si>
  <si>
    <t>Depende. Ahorra energía y agua al evitar un uso innecesario.</t>
  </si>
  <si>
    <t>Evita pérdidas de energía en refrigeración.</t>
  </si>
  <si>
    <t>Ahorro energético de 50-70% respecto a hornos.</t>
  </si>
  <si>
    <t>Ahorra 50-80% de energía en comparación con el horno.</t>
  </si>
  <si>
    <t>En cada ciclo de lavado aprox. 0.5 kWh de ahorro.</t>
  </si>
  <si>
    <t>Ahorro de 2-4 kWh por carga.</t>
  </si>
  <si>
    <t>Usar apps para evitar el desperdicio de alimentos</t>
  </si>
  <si>
    <t>Aplicaciones como Too Good To Go o Olio para comprar excedentes de alimentos a bajo costo y evitar el desperdicio.</t>
  </si>
  <si>
    <t>Apoyar iniciativas locales de reducción de desperdicios</t>
  </si>
  <si>
    <t xml:space="preserve"> Involucrarse en programas y campañas que promuevan la reducción de residuos alimentarios en la comunidad.</t>
  </si>
  <si>
    <t xml:space="preserve"> Optimizar el almacenamiento de alimentos</t>
  </si>
  <si>
    <t>Usar métodos y recipientes que prolonguen la frescura de los alimentos  y evitar que se echen a perder.</t>
  </si>
  <si>
    <t xml:space="preserve"> Involucrarse en políticas alimentarias.</t>
  </si>
  <si>
    <t>Participar en movimientos y organizaciones que promuevan políticas alimentarias sostenibles a nivel local y nacional</t>
  </si>
  <si>
    <t>Políticas de Consumo</t>
  </si>
  <si>
    <t>Educar y concienciar.</t>
  </si>
  <si>
    <t xml:space="preserve"> Informar a familiares y amigos sobre la importancia de reducir la huella de carbono en el consumo de alimentos.</t>
  </si>
  <si>
    <t>Participar en cooperativas puede reducir el desperdicio y apoyar el consumo local.</t>
  </si>
  <si>
    <t>media</t>
  </si>
  <si>
    <t>Continua</t>
  </si>
  <si>
    <t>Acciones del grupo Dieta y consumo de alimentos</t>
  </si>
  <si>
    <r>
      <t>Reducción variable: En función de la producción anual del huerto:</t>
    </r>
    <r>
      <rPr>
        <sz val="12"/>
        <color theme="1"/>
        <rFont val="Calibri"/>
        <family val="2"/>
        <scheme val="minor"/>
      </rPr>
      <t xml:space="preserve"> los kilos que se producen. </t>
    </r>
  </si>
  <si>
    <t>Reducción: Variable, se reducen las emisiones del transporte de alimentos, aprox 0.1-0.3 kg de CO2e por cada kg de alimentos.</t>
  </si>
  <si>
    <t>Reducción: 50 kg de frutas y verduras de temporada en lugar de importadas, requieren 50% menos de energía de transporte y almacenamiento, podrías evitar 10-20 kg de CO₂ al año.</t>
  </si>
  <si>
    <t xml:space="preserve"> Reducción: La huella evitada será cercana a la huella de carbono de su fabricación. (fabricar un pequeño electrodoméstico puede emitir de 20-100 kg de CO₂ dependiendo de su tamaño y materiales.)</t>
  </si>
  <si>
    <t>Acciones del grupo compras y consumos</t>
  </si>
  <si>
    <t>Elige productos diseñados para durar y ser reciclados o compostados al final de su vida útil.</t>
  </si>
  <si>
    <t>Considerar la durabilidad y reciclabilidad.</t>
  </si>
  <si>
    <t>Busca productos hechos con materiales reciclados o que puedan ser devueltos para ser transformados en nuevos productos</t>
  </si>
  <si>
    <r>
      <t>Preferir productos con economía circular</t>
    </r>
    <r>
      <rPr>
        <sz val="12"/>
        <color theme="1"/>
        <rFont val="Calibri"/>
        <family val="2"/>
        <scheme val="minor"/>
      </rPr>
      <t>.</t>
    </r>
  </si>
  <si>
    <t>Planea lo que necesitas para evitar compras impulsivas</t>
  </si>
  <si>
    <t>No te dejes llevar por tendencias efímeras y apuesta por productos atemporales</t>
  </si>
  <si>
    <r>
      <t>Hacer listas de compras</t>
    </r>
    <r>
      <rPr>
        <sz val="12"/>
        <color theme="1"/>
        <rFont val="Calibri"/>
        <family val="2"/>
        <scheme val="minor"/>
      </rPr>
      <t>.</t>
    </r>
  </si>
  <si>
    <r>
      <t>Evitar las modas pasajeras</t>
    </r>
    <r>
      <rPr>
        <sz val="12"/>
        <color theme="1"/>
        <rFont val="Calibri"/>
        <family val="2"/>
        <scheme val="minor"/>
      </rPr>
      <t>.</t>
    </r>
  </si>
  <si>
    <t>Compartir recursos y herramientas.</t>
  </si>
  <si>
    <t>Participa en grupos locales que promuevan el compartir y alquilar herramientas, libros y otros bienes</t>
  </si>
  <si>
    <t>Unirse a bancos de tiempo o cooperativas de consumo.</t>
  </si>
  <si>
    <t>Estas iniciativas permiten intercambiar servicios y productos sin necesidad de comprar</t>
  </si>
  <si>
    <t>Optar por opciones digitales.</t>
  </si>
  <si>
    <t>Libros, revistas y películas en formato digital para reducir el uso de papel y materiales</t>
  </si>
  <si>
    <t>Buscar certificaciones.</t>
  </si>
  <si>
    <t>Opta por productos con sellos como orgánico, comercio justo, ecológico o cruelty-free.</t>
  </si>
  <si>
    <t>Apoyar tiendas locales y responsables.</t>
  </si>
  <si>
    <t>Prioriza negocios que apoyen prácticas sostenibles y el comercio justo.</t>
  </si>
  <si>
    <t>Utilizar mercados de productores o cooperativas.</t>
  </si>
  <si>
    <t>Ayuda a reducir la intermediación y fomenta prácticas más éticas.</t>
  </si>
  <si>
    <t>Investigar las marcas.</t>
  </si>
  <si>
    <t>Conoce las prácticas y valores de las marcas que eliges, apoyando a aquellas que sean transparentes y responsables.</t>
  </si>
  <si>
    <t>Evitar el greenwashing.</t>
  </si>
  <si>
    <t>Desconfía de las marcas que usan términos como "eco" o "verde" sin demostrar prácticas reales de sostenibilidad.</t>
  </si>
  <si>
    <t xml:space="preserve">Bajo </t>
  </si>
  <si>
    <r>
      <t>Mod</t>
    </r>
    <r>
      <rPr>
        <sz val="12"/>
        <color theme="1"/>
        <rFont val="Calibri"/>
        <family val="2"/>
        <scheme val="minor"/>
      </rPr>
      <t>erado</t>
    </r>
  </si>
  <si>
    <t>bajo</t>
  </si>
  <si>
    <t>Optar por cosméticos sólidos o sin envases.</t>
  </si>
  <si>
    <t>Elegir productos que generen menos residuos.</t>
  </si>
  <si>
    <t>Díficil</t>
  </si>
  <si>
    <r>
      <t xml:space="preserve">Se reduce la distancia de transporte. Por cada 50 Km reducidos: reducción de CO₂ = 50 km * </t>
    </r>
    <r>
      <rPr>
        <sz val="12"/>
        <color rgb="FFFF0000"/>
        <rFont val="Calibri"/>
        <family val="2"/>
        <scheme val="minor"/>
      </rPr>
      <t>0.16 kg</t>
    </r>
    <r>
      <rPr>
        <sz val="12"/>
        <color theme="1"/>
        <rFont val="Calibri"/>
        <family val="2"/>
        <scheme val="minor"/>
      </rPr>
      <t xml:space="preserve"> CO₂/km = 8 kg CO₂ evitados.</t>
    </r>
  </si>
  <si>
    <t>Por cada kg de comida desperdiciada se genera una huella promedio de 3.5 kg CO₂. Si salvas 10 kg al año. Reducción de CO₂ = 10 kg * 3.5 kg CO₂/kg = 35 kg CO₂ evitados.</t>
  </si>
  <si>
    <t>Similar al anterior, dependerá del desperdicio evitado.</t>
  </si>
  <si>
    <t xml:space="preserve"> Estima cuántas personas cambian su comportamiento y el alimento que ahorran o CO₂ que  evitan. </t>
  </si>
  <si>
    <t xml:space="preserve"> Si una política reduce un 10% del consumo de carne en una comunidad de 1000 personas (suponiendo 100 kg carne/persona/año y 50 kg CO₂/kg carne): Reducción 1000 personas * 100 kg * 10% * 50 kg CO₂/kg = 500,000 kg CO₂ evitados</t>
  </si>
  <si>
    <t>Ahorra hasta un 30% de emisiones en comparación con la ropa convencional.</t>
  </si>
  <si>
    <t xml:space="preserve"> Ahorra hasta el 70% de la huella de carbono por evitar la fabricación de productos nuevos.</t>
  </si>
  <si>
    <t>Similar al anterior.</t>
  </si>
  <si>
    <t>Reduce hasta el 80% de las emisiones asociadas a los desechos no reciclados.</t>
  </si>
  <si>
    <t xml:space="preserve"> Evita 200-300 kg CO₂ al año.</t>
  </si>
  <si>
    <t>Reducción de hasta el 50% en la huella alimentaria.</t>
  </si>
  <si>
    <t xml:space="preserve"> Evita 1 kg de CO₂ por cada 5 km que evitas usar el coche.</t>
  </si>
  <si>
    <t xml:space="preserve"> Disminuye tu huella de carbono en un 10-20%.</t>
  </si>
  <si>
    <t xml:space="preserve"> Reducción de hasta el 50% de las emisiones relacionadas.</t>
  </si>
  <si>
    <t>Evitar el 50-70% de las emisiones por producción de nuevos productos.</t>
  </si>
  <si>
    <t xml:space="preserve"> Ahorra hasta un 50% en comparación con comprar un producto nuevo.</t>
  </si>
  <si>
    <t>Depende del uso de plásticos de un solo uso.</t>
  </si>
  <si>
    <t xml:space="preserve"> Hasta un 90% en comparación con el uso de materiales físicos como papel.</t>
  </si>
  <si>
    <t xml:space="preserve">Reducción de CO₂: Hasta un 30% dependiendo de la certificación </t>
  </si>
  <si>
    <t>Depende del uso de plásticos.</t>
  </si>
  <si>
    <t>Por cada kg de plástico que se evita, se puede reducir de 1.8 a 3.2 kg de CO₂. Varía según el tipo de plástico y el proceso de producción o reciclaje implicado.</t>
  </si>
  <si>
    <t>Menos productos implica una reducción de hasta un 30% en la huella carbono personal.</t>
  </si>
  <si>
    <t>Reduce la necesidad de fabricar nuevos productos, y puede ahorrar un 30-50% de emisiones.</t>
  </si>
  <si>
    <t>puede reducir hasta un 50% de la huella de carbono.</t>
  </si>
  <si>
    <t>Evita compras innecesarias y puede ahorrar un 10-20% en la huella de carbono asociada al consumo</t>
  </si>
  <si>
    <t>Se pueden reducir emisiones por fabricación y transporte.</t>
  </si>
  <si>
    <t>Puede reducir hasta un 50% de la huella de carbono de los bienes intercambiados</t>
  </si>
  <si>
    <t>Puede reducir hasta un 50% de la huella de carbono de estos productos.</t>
  </si>
  <si>
    <t>Ahorra hasta un 30% de emisiones en comparación con las tiendas convencionales.</t>
  </si>
  <si>
    <t>Marcas que se alineen con principios sostenibles puede evitar emisiones según el producto y su ciclo de vida, entre un 20-30% menos que marcas menos sostenibles.</t>
  </si>
  <si>
    <t>Evitar devoluciones y minimizar envíos puede reducir un 10-20% la huella de carbono por compra</t>
  </si>
  <si>
    <t>Acciones del grupo Gestión de Residuos</t>
  </si>
  <si>
    <t>Los productos verdaderamente sosteniblesevitan hasta un 30% de emisiones, los falsos no.</t>
  </si>
  <si>
    <t>Comprar  alimentos a granel para evitar embalajes innecesarios</t>
  </si>
  <si>
    <t>Adoptar tecnologías que minimicen la generación de residuos durante la producción industrial.</t>
  </si>
  <si>
    <t>Empresa</t>
  </si>
  <si>
    <t>Transformar desechos o subproductos industriales en insumos útiles para otros procesos y reducir materias primas vírgenes.</t>
  </si>
  <si>
    <t>Empresa, comunidad</t>
  </si>
  <si>
    <t>Educar y motivar a las personas y prácticar para que conviertan restos de alimentos en compost, se reduce la cantidad de residuos enviados a vertederos, fortalece la economía circular</t>
  </si>
  <si>
    <t>Promueve la reutilización, reciclaje y reducción de desechos,  minimizando el impacto ambiental. Colaboración entre gobiernos locales, empresas y ciudadanos y fomentan la economía circular.</t>
  </si>
  <si>
    <t>Empleado, Empresa</t>
  </si>
  <si>
    <t>Evaluaciones detalladas que identifican las fuentes y tipos de residuos generados en una organización. Para implementar estrategias que minimicen los residuos.</t>
  </si>
  <si>
    <t xml:space="preserve"> Ciudadano, Empleado, Empresa, Comunidad.</t>
  </si>
  <si>
    <t>Iniciativas educativas que enseñan cómo crear y gestionar compost de manera eficiente.</t>
  </si>
  <si>
    <t>ciudadano, Comunidad</t>
  </si>
  <si>
    <t>Colaboración en comunidades para el intercambio de compost y recursos relacionados.</t>
  </si>
  <si>
    <t>Comunidad, Ciudadano</t>
  </si>
  <si>
    <t>Establecimiento de metas para la reducción de residuos en eventos.</t>
  </si>
  <si>
    <t>Crear objetivos claros y medibles para minimizar residuos durante eventos comunitarios y masivos.</t>
  </si>
  <si>
    <t>Puntual, continuo</t>
  </si>
  <si>
    <t>Ciudadano, familia, comunidad</t>
  </si>
  <si>
    <t xml:space="preserve"> Asociarse con bancos de alimentos para distribuir los alimentos excedentes a personas necesitadas, evitando el desperdicio.</t>
  </si>
  <si>
    <t>Fomento de la donación de alimentos cerca de la fecha de vencimiento.</t>
  </si>
  <si>
    <t xml:space="preserve"> Incentivar la donación de productos alimenticios próximos a vencer para distribuir a quienes más lo necesitan.</t>
  </si>
  <si>
    <t>Normas y estrategias para minimizar el uso de embalajes, promoviendo opciones más sostenibles y reduciendo el desperdicio.</t>
  </si>
  <si>
    <t xml:space="preserve"> Ciudadano, Empresa, Comunidad</t>
  </si>
  <si>
    <t>Promover sistemas de retorno de envases para su reutilización, uso repetido de los mismos materiales y reduce los residuos.</t>
  </si>
  <si>
    <t>Nº</t>
  </si>
  <si>
    <t>Si dejas de usar 500 platos y vasos desechables al año, y cada uno evita 0,5 kg CO₂e, la reducción total sería de 250 kg CO₂e/año.</t>
  </si>
  <si>
    <t>Cambiar a productos ecológicos puede reducir 10 kg CO₂e por botella utilizada anualmente.</t>
  </si>
  <si>
    <t>Sustituir trapos desechables por reutilizables ahorra aproximadamente 0,3 kg CO₂e por unidad.</t>
  </si>
  <si>
    <t>Utilizar una botella reutilizable en lugar de consumir botellas plásticas puede reducir hasta 50 kg CO₂e/año (0,25 kg CO₂e por botella).</t>
  </si>
  <si>
    <t>Usar pajitas reutilizables en lugar de 100 desechables podría ahorrar alrededor de 5 kg CO₂e/año.</t>
  </si>
  <si>
    <t>Cambiar 50 kg de papel estándar por reciclado podría reducir 25 kg CO₂e/año (0,5 kg CO₂e por kg de papel)</t>
  </si>
  <si>
    <t>Cambiar de pañuelos desechables a tela evita aproximadamente 0,02 kg CO₂e por pañuelo, lo que equivale a 10 kg CO₂e/año para 500 usos.</t>
  </si>
  <si>
    <t xml:space="preserve"> Sustituir 300 pañales desechables por tela puede reducir hasta 200 kg CO₂e/año</t>
  </si>
  <si>
    <t xml:space="preserve"> Usar 100 servilletas de tela en lugar de desechables puede ahorrar 20 kg CO₂e al año.</t>
  </si>
  <si>
    <t>Evitar el empaque en 100 kg de productos puede reducir 50 kg CO₂e (0,5 kg CO₂e por kg).</t>
  </si>
  <si>
    <t>Si cada kg de producto reciclado evita 1 kg CO₂e y se compran 50 kg, se evitarían 50 kg CO₂e.</t>
  </si>
  <si>
    <t>Reciclar 5 dispositivos electrónicos puede ahorrar 80 kg CO₂e cada uno, para un total de 400 kg CO₂e/año.</t>
  </si>
  <si>
    <t>Reutilizar 50 frascos de vidrio en lugar de comprar nuevos puede ahorrar 0,2 kg CO₂e cada uno, para un total de 10 kg CO₂e.</t>
  </si>
  <si>
    <t>Crear 20 objetos decorativos a partir de materiales reciclados puede ahorrar aproximadamente 30 kg CO₂e.</t>
  </si>
  <si>
    <t>Transformar 10 kg de materiales reciclados en productos nuevos puede ahorrar 5 kg CO₂e.</t>
  </si>
  <si>
    <t>Donar 30 kg de ropa en lugar de desecharlos puede reducir 20 kg CO₂e en emisiones de procesamiento.</t>
  </si>
  <si>
    <t>Reciclar 100 pilas ahorra 15 kg CO₂e en emisiones de desecho.</t>
  </si>
  <si>
    <t>Sustituir envases desechables por 50 reutilizables puede ahorrar 25 kg CO₂e.</t>
  </si>
  <si>
    <t>Mejorar un proceso de fabricación industrial podría reducir emisiones hasta en 1000 kg CO₂e/año.</t>
  </si>
  <si>
    <t>Reutilizar 500 kg de subproductos podría ahorrar 300 kg CO₂e en energía y materiales.</t>
  </si>
  <si>
    <t>Una auditoría de residuos que reduzca la generación en un 10% podría ahorrar 1500 kg CO₂e/año.</t>
  </si>
  <si>
    <t>Crear compost a partir de residuos orgánicos de 50 hogares puede ahorrar hasta 1000 kg CO₂e/año.</t>
  </si>
  <si>
    <t>Entrenar a 20 personas en técnicas de compostaje podría evitar 200 kg CO₂e.</t>
  </si>
  <si>
    <t>Una red que procese 200 kg de residuos orgánicos puede ahorrar 150 kg CO₂e/año.</t>
  </si>
  <si>
    <t>Un programa que reduzca los residuos en 100 empresas puede ahorrar 5000 kg CO₂e.</t>
  </si>
  <si>
    <t>Reducir residuos en un evento de 500 personas puede ahorrar 300 kg CO₂e.</t>
  </si>
  <si>
    <t>Redistribuir 1000 kg de alimentos puede evitar la emisión de 200 kg CO₂e.</t>
  </si>
  <si>
    <t>Donar alimentos cercanos a su vencimiento para 50 familias puede ahorrar 100 kg CO₂e.</t>
  </si>
  <si>
    <t>Reducir un 10% de embalajes innecesarios en productos de una empresa puede ahorrar 500 kg CO₂e.</t>
  </si>
  <si>
    <t>Implementar un sistema de devolución de envases para 1000 unidades puede ahorrar 200 kg CO₂e.</t>
  </si>
  <si>
    <t xml:space="preserve">Acción nº </t>
  </si>
  <si>
    <t>Accíones del grupo participación comunitaria</t>
  </si>
  <si>
    <t>Acciones de mi plan personal</t>
  </si>
  <si>
    <t>Acciones del grupo de transporte</t>
  </si>
  <si>
    <t>Acciones de grupo consumo de energia en el hogar</t>
  </si>
  <si>
    <t>Acciones del grupo dieta y consumo de alimentos</t>
  </si>
  <si>
    <t>Acciones del grupo gestión de residuos</t>
  </si>
  <si>
    <t>Acciones del grupo participción comunitaria</t>
  </si>
  <si>
    <t>Otras acciones</t>
  </si>
  <si>
    <t xml:space="preserve">   </t>
  </si>
  <si>
    <t>Aislar ventanas y puertas para conservar la temperatura y mejorar eficiencia energetica</t>
  </si>
  <si>
    <r>
      <t>Se reduce la distancia de transporte. Por cada 50 Km reducidos: reducción de CO₂ = 50 km *</t>
    </r>
    <r>
      <rPr>
        <sz val="12"/>
        <rFont val="Calibri"/>
        <family val="2"/>
        <scheme val="minor"/>
      </rPr>
      <t xml:space="preserve"> 0.18 kg </t>
    </r>
    <r>
      <rPr>
        <sz val="12"/>
        <color theme="1"/>
        <rFont val="Calibri"/>
        <family val="2"/>
        <scheme val="minor"/>
      </rPr>
      <t>CO₂/km = 8 kg CO₂ evitados.</t>
    </r>
  </si>
  <si>
    <t>El objetivo de esta hoja de calculo, es proporcionar una herramienta interactiva para evaluar y reducir la huella de carbono. Incluye una lista de medidas concretas para reducir la huella de carbono y una orientación para calcular la reducción asociada a cada medida</t>
  </si>
  <si>
    <t>V4.1</t>
  </si>
  <si>
    <t>CO2 Kg/1000$</t>
  </si>
  <si>
    <t>Segn el MITECO 1 persona en España 5,48 Tons en 2022</t>
  </si>
  <si>
    <t>Datos MITECO</t>
  </si>
  <si>
    <t>V4.2</t>
  </si>
  <si>
    <t>Updated by: Revisores del Campus Huella de Carbono</t>
  </si>
  <si>
    <t>© AHdC - 2022,2023,2024,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</si>
</sst>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3" x14ac:knownFonts="1">
    <font>
      <sz val="12"/>
      <color theme="1"/>
      <name val="Calibri"/>
      <family val="2"/>
      <scheme val="minor"/>
    </font>
    <font>
      <sz val="16"/>
      <color theme="1"/>
      <name val="Calibri"/>
      <family val="2"/>
      <scheme val="minor"/>
    </font>
    <font>
      <sz val="11"/>
      <color theme="1"/>
      <name val="Calibri"/>
      <family val="2"/>
      <scheme val="minor"/>
    </font>
    <font>
      <b/>
      <sz val="14"/>
      <color rgb="FFFFFFFF"/>
      <name val="Arial"/>
      <family val="2"/>
    </font>
    <font>
      <u/>
      <sz val="11"/>
      <color theme="10"/>
      <name val="Calibri"/>
      <family val="2"/>
      <scheme val="minor"/>
    </font>
    <font>
      <sz val="12"/>
      <color rgb="FF333333"/>
      <name val="Arial"/>
      <family val="2"/>
    </font>
    <font>
      <sz val="12"/>
      <color rgb="FF305B96"/>
      <name val="Arial"/>
      <family val="2"/>
    </font>
    <font>
      <b/>
      <sz val="12"/>
      <color rgb="FF333333"/>
      <name val="Arial"/>
      <family val="2"/>
    </font>
    <font>
      <sz val="11"/>
      <color rgb="FFFF0000"/>
      <name val="Calibri"/>
      <family val="2"/>
      <scheme val="minor"/>
    </font>
    <font>
      <b/>
      <sz val="16"/>
      <color rgb="FFFF0000"/>
      <name val="Calibri"/>
      <family val="2"/>
      <scheme val="minor"/>
    </font>
    <font>
      <sz val="24"/>
      <color theme="1"/>
      <name val="Calibri"/>
      <family val="2"/>
      <scheme val="minor"/>
    </font>
    <font>
      <sz val="14"/>
      <color theme="1"/>
      <name val="Calibri"/>
      <family val="2"/>
      <scheme val="minor"/>
    </font>
    <font>
      <sz val="14"/>
      <color theme="1"/>
      <name val="Arial"/>
      <family val="2"/>
    </font>
    <font>
      <sz val="14"/>
      <color rgb="FF374151"/>
      <name val="Roboto"/>
    </font>
    <font>
      <sz val="14"/>
      <color rgb="FF374151"/>
      <name val="Calibri"/>
      <family val="2"/>
      <scheme val="minor"/>
    </font>
    <font>
      <sz val="18"/>
      <color theme="1"/>
      <name val="Helvetica"/>
      <family val="2"/>
    </font>
    <font>
      <b/>
      <sz val="13.5"/>
      <color theme="1"/>
      <name val="Calibri"/>
      <family val="2"/>
      <scheme val="minor"/>
    </font>
    <font>
      <b/>
      <sz val="12"/>
      <color theme="1"/>
      <name val="Calibri"/>
      <family val="2"/>
      <scheme val="minor"/>
    </font>
    <font>
      <b/>
      <sz val="14"/>
      <color theme="1"/>
      <name val="Calibri"/>
      <family val="2"/>
      <scheme val="minor"/>
    </font>
    <font>
      <b/>
      <sz val="11"/>
      <color theme="1"/>
      <name val="Calibri"/>
      <family val="2"/>
      <scheme val="minor"/>
    </font>
    <font>
      <b/>
      <sz val="18"/>
      <color theme="1"/>
      <name val="Calibri"/>
      <family val="2"/>
      <scheme val="minor"/>
    </font>
    <font>
      <sz val="14"/>
      <color rgb="FF000000"/>
      <name val="Calibri"/>
      <family val="2"/>
      <scheme val="minor"/>
    </font>
    <font>
      <b/>
      <sz val="14"/>
      <color rgb="FF0A2F40"/>
      <name val="Arial"/>
      <family val="2"/>
    </font>
    <font>
      <sz val="12"/>
      <name val="Arial"/>
      <family val="2"/>
    </font>
    <font>
      <b/>
      <sz val="12"/>
      <name val="Arial"/>
      <family val="2"/>
    </font>
    <font>
      <sz val="12"/>
      <name val="Calibri"/>
      <family val="2"/>
      <scheme val="minor"/>
    </font>
    <font>
      <sz val="12"/>
      <color rgb="FFFF0000"/>
      <name val="Calibri"/>
      <family val="2"/>
      <scheme val="minor"/>
    </font>
    <font>
      <b/>
      <sz val="10"/>
      <color theme="1"/>
      <name val="Calibri"/>
      <family val="2"/>
      <scheme val="minor"/>
    </font>
    <font>
      <b/>
      <sz val="7.5"/>
      <color theme="1"/>
      <name val="Calibri"/>
      <family val="2"/>
      <scheme val="minor"/>
    </font>
    <font>
      <u/>
      <sz val="14"/>
      <color theme="10"/>
      <name val="Calibri"/>
      <family val="2"/>
      <scheme val="minor"/>
    </font>
    <font>
      <b/>
      <sz val="11"/>
      <color rgb="FF305B96"/>
      <name val="Arial"/>
      <family val="2"/>
    </font>
    <font>
      <sz val="11"/>
      <color theme="1"/>
      <name val="Arial"/>
      <family val="2"/>
    </font>
    <font>
      <sz val="16"/>
      <color theme="1"/>
      <name val="Helvetica"/>
      <family val="2"/>
    </font>
  </fonts>
  <fills count="18">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3" tint="0.39997558519241921"/>
        <bgColor indexed="64"/>
      </patternFill>
    </fill>
    <fill>
      <patternFill patternType="solid">
        <fgColor theme="9"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7" tint="0.39997558519241921"/>
        <bgColor indexed="64"/>
      </patternFill>
    </fill>
    <fill>
      <patternFill patternType="solid">
        <fgColor theme="5" tint="0.39997558519241921"/>
        <bgColor indexed="64"/>
      </patternFill>
    </fill>
    <fill>
      <patternFill patternType="solid">
        <fgColor rgb="FFE7E6E6"/>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1"/>
        <bgColor indexed="64"/>
      </patternFill>
    </fill>
    <fill>
      <patternFill patternType="solid">
        <fgColor theme="0"/>
        <bgColor indexed="64"/>
      </patternFill>
    </fill>
  </fills>
  <borders count="3">
    <border>
      <left/>
      <right/>
      <top/>
      <bottom/>
      <diagonal/>
    </border>
    <border>
      <left/>
      <right/>
      <top style="hair">
        <color auto="1"/>
      </top>
      <bottom style="hair">
        <color auto="1"/>
      </bottom>
      <diagonal/>
    </border>
    <border>
      <left/>
      <right/>
      <top/>
      <bottom style="thin">
        <color indexed="64"/>
      </bottom>
      <diagonal/>
    </border>
  </borders>
  <cellStyleXfs count="5">
    <xf numFmtId="0" fontId="0" fillId="0" borderId="0"/>
    <xf numFmtId="0" fontId="2" fillId="0" borderId="0"/>
    <xf numFmtId="0" fontId="4" fillId="0" borderId="0" applyNumberFormat="0" applyFill="0" applyBorder="0" applyAlignment="0" applyProtection="0"/>
    <xf numFmtId="43" fontId="2" fillId="0" borderId="0" applyFont="0" applyFill="0" applyBorder="0" applyAlignment="0" applyProtection="0"/>
    <xf numFmtId="9" fontId="2" fillId="0" borderId="0" applyFont="0" applyFill="0" applyBorder="0" applyAlignment="0" applyProtection="0"/>
  </cellStyleXfs>
  <cellXfs count="200">
    <xf numFmtId="0" fontId="0" fillId="0" borderId="0" xfId="0"/>
    <xf numFmtId="0" fontId="0" fillId="0" borderId="0" xfId="0" applyAlignment="1">
      <alignment horizontal="center"/>
    </xf>
    <xf numFmtId="0" fontId="1" fillId="0" borderId="0" xfId="0" applyFont="1" applyAlignment="1">
      <alignment horizontal="center" vertical="center"/>
    </xf>
    <xf numFmtId="0" fontId="2" fillId="0" borderId="0" xfId="1"/>
    <xf numFmtId="0" fontId="2" fillId="0" borderId="0" xfId="1" applyAlignment="1">
      <alignment horizontal="center"/>
    </xf>
    <xf numFmtId="0" fontId="4" fillId="0" borderId="0" xfId="2"/>
    <xf numFmtId="0" fontId="5" fillId="0" borderId="0" xfId="1" applyFont="1"/>
    <xf numFmtId="0" fontId="6" fillId="0" borderId="0" xfId="1" applyFont="1"/>
    <xf numFmtId="0" fontId="7" fillId="0" borderId="0" xfId="1" applyFont="1"/>
    <xf numFmtId="0" fontId="2" fillId="2" borderId="0" xfId="1" applyFill="1" applyAlignment="1">
      <alignment horizontal="center"/>
    </xf>
    <xf numFmtId="0" fontId="2" fillId="2" borderId="0" xfId="1" applyFill="1"/>
    <xf numFmtId="0" fontId="8" fillId="3" borderId="0" xfId="1" applyFont="1" applyFill="1"/>
    <xf numFmtId="0" fontId="2" fillId="0" borderId="1" xfId="1" applyBorder="1"/>
    <xf numFmtId="164" fontId="0" fillId="4" borderId="0" xfId="3" applyNumberFormat="1" applyFont="1" applyFill="1" applyAlignment="1">
      <alignment horizontal="center"/>
    </xf>
    <xf numFmtId="164" fontId="0" fillId="0" borderId="0" xfId="3" applyNumberFormat="1" applyFont="1" applyAlignment="1">
      <alignment horizontal="center"/>
    </xf>
    <xf numFmtId="9" fontId="0" fillId="0" borderId="0" xfId="4" applyFont="1"/>
    <xf numFmtId="9" fontId="0" fillId="4" borderId="0" xfId="4" applyFont="1" applyFill="1"/>
    <xf numFmtId="0" fontId="2" fillId="4" borderId="0" xfId="1" applyFill="1"/>
    <xf numFmtId="164" fontId="0" fillId="5" borderId="0" xfId="3" applyNumberFormat="1" applyFont="1" applyFill="1" applyAlignment="1">
      <alignment horizontal="center"/>
    </xf>
    <xf numFmtId="0" fontId="2" fillId="0" borderId="1" xfId="1" applyBorder="1" applyAlignment="1">
      <alignment horizontal="right"/>
    </xf>
    <xf numFmtId="164" fontId="2" fillId="0" borderId="1" xfId="1" applyNumberFormat="1" applyBorder="1"/>
    <xf numFmtId="9" fontId="0" fillId="5" borderId="0" xfId="4" applyFont="1" applyFill="1"/>
    <xf numFmtId="0" fontId="2" fillId="5" borderId="0" xfId="1" applyFill="1"/>
    <xf numFmtId="164" fontId="0" fillId="6" borderId="0" xfId="3" applyNumberFormat="1" applyFont="1" applyFill="1" applyAlignment="1">
      <alignment horizontal="center"/>
    </xf>
    <xf numFmtId="9" fontId="0" fillId="7" borderId="0" xfId="4" applyFont="1" applyFill="1"/>
    <xf numFmtId="0" fontId="2" fillId="7" borderId="0" xfId="1" applyFill="1"/>
    <xf numFmtId="164" fontId="0" fillId="8" borderId="0" xfId="3" applyNumberFormat="1" applyFont="1" applyFill="1" applyAlignment="1">
      <alignment horizontal="center"/>
    </xf>
    <xf numFmtId="9" fontId="0" fillId="8" borderId="0" xfId="4" applyFont="1" applyFill="1"/>
    <xf numFmtId="0" fontId="2" fillId="8" borderId="0" xfId="1" applyFill="1"/>
    <xf numFmtId="9" fontId="0" fillId="0" borderId="0" xfId="4" applyFont="1" applyFill="1"/>
    <xf numFmtId="164" fontId="0" fillId="9" borderId="0" xfId="3" applyNumberFormat="1" applyFont="1" applyFill="1" applyAlignment="1">
      <alignment horizontal="center"/>
    </xf>
    <xf numFmtId="9" fontId="0" fillId="9" borderId="0" xfId="4" applyFont="1" applyFill="1"/>
    <xf numFmtId="0" fontId="2" fillId="9" borderId="0" xfId="1" applyFill="1"/>
    <xf numFmtId="43" fontId="0" fillId="3" borderId="0" xfId="3" applyFont="1" applyFill="1" applyAlignment="1">
      <alignment horizontal="center"/>
    </xf>
    <xf numFmtId="0" fontId="2" fillId="3" borderId="0" xfId="1" applyFill="1" applyAlignment="1">
      <alignment horizontal="center" wrapText="1"/>
    </xf>
    <xf numFmtId="0" fontId="2" fillId="6" borderId="0" xfId="1" applyFill="1" applyAlignment="1">
      <alignment horizontal="center"/>
    </xf>
    <xf numFmtId="0" fontId="2" fillId="6" borderId="0" xfId="1" applyFill="1"/>
    <xf numFmtId="0" fontId="2" fillId="10" borderId="0" xfId="1" applyFill="1"/>
    <xf numFmtId="0" fontId="9" fillId="10" borderId="0" xfId="1" applyFont="1" applyFill="1" applyAlignment="1">
      <alignment horizontal="center"/>
    </xf>
    <xf numFmtId="0" fontId="1" fillId="0" borderId="0" xfId="0" applyFont="1"/>
    <xf numFmtId="0" fontId="11" fillId="0" borderId="0" xfId="0" applyFont="1"/>
    <xf numFmtId="0" fontId="11" fillId="0" borderId="0" xfId="0" applyFont="1" applyAlignment="1">
      <alignment horizontal="center"/>
    </xf>
    <xf numFmtId="0" fontId="11" fillId="11" borderId="0" xfId="0" applyFont="1" applyFill="1" applyAlignment="1">
      <alignment horizontal="center" wrapText="1"/>
    </xf>
    <xf numFmtId="0" fontId="11" fillId="11" borderId="0" xfId="0" applyFont="1" applyFill="1" applyAlignment="1">
      <alignment wrapText="1"/>
    </xf>
    <xf numFmtId="0" fontId="11" fillId="0" borderId="0" xfId="0" applyFont="1" applyAlignment="1">
      <alignment wrapText="1"/>
    </xf>
    <xf numFmtId="0" fontId="11" fillId="8" borderId="0" xfId="0" applyFont="1" applyFill="1" applyAlignment="1">
      <alignment horizontal="center" wrapText="1"/>
    </xf>
    <xf numFmtId="0" fontId="1" fillId="6" borderId="0" xfId="0" applyFont="1" applyFill="1" applyAlignment="1">
      <alignment horizontal="center" vertical="center"/>
    </xf>
    <xf numFmtId="0" fontId="0" fillId="0" borderId="0" xfId="0" applyAlignment="1">
      <alignment horizontal="center" vertical="center"/>
    </xf>
    <xf numFmtId="0" fontId="12" fillId="0" borderId="0" xfId="0" applyFont="1"/>
    <xf numFmtId="0" fontId="12" fillId="0" borderId="0" xfId="0" applyFont="1" applyAlignment="1">
      <alignment horizontal="center"/>
    </xf>
    <xf numFmtId="0" fontId="13" fillId="0" borderId="0" xfId="0" applyFont="1"/>
    <xf numFmtId="0" fontId="13" fillId="0" borderId="0" xfId="0" applyFont="1" applyAlignment="1">
      <alignment horizontal="center"/>
    </xf>
    <xf numFmtId="0" fontId="14" fillId="0" borderId="0" xfId="0" applyFont="1"/>
    <xf numFmtId="0" fontId="14" fillId="0" borderId="0" xfId="0" applyFont="1" applyAlignment="1">
      <alignment horizontal="center"/>
    </xf>
    <xf numFmtId="0" fontId="1" fillId="13" borderId="0" xfId="0" applyFont="1" applyFill="1" applyAlignment="1">
      <alignment horizontal="center"/>
    </xf>
    <xf numFmtId="0" fontId="1" fillId="6" borderId="2" xfId="0" applyFont="1" applyFill="1" applyBorder="1" applyAlignment="1">
      <alignment horizontal="center" vertical="center"/>
    </xf>
    <xf numFmtId="0" fontId="1" fillId="11" borderId="2" xfId="0" applyFont="1" applyFill="1" applyBorder="1" applyAlignment="1">
      <alignment horizontal="center"/>
    </xf>
    <xf numFmtId="0" fontId="1" fillId="14" borderId="0" xfId="0" applyFont="1" applyFill="1"/>
    <xf numFmtId="0" fontId="1" fillId="14" borderId="0" xfId="0" applyFont="1" applyFill="1" applyAlignment="1">
      <alignment horizontal="center"/>
    </xf>
    <xf numFmtId="0" fontId="1" fillId="14" borderId="0" xfId="0" applyFont="1" applyFill="1" applyAlignment="1">
      <alignment horizontal="center" vertical="center"/>
    </xf>
    <xf numFmtId="0" fontId="0" fillId="0" borderId="0" xfId="0" quotePrefix="1"/>
    <xf numFmtId="0" fontId="16" fillId="0" borderId="0" xfId="0" applyFont="1" applyAlignment="1">
      <alignment vertical="center"/>
    </xf>
    <xf numFmtId="0" fontId="0" fillId="0" borderId="0" xfId="0" applyAlignment="1">
      <alignment horizontal="left" vertical="center" indent="1"/>
    </xf>
    <xf numFmtId="0" fontId="17" fillId="0" borderId="0" xfId="0" applyFont="1" applyAlignment="1">
      <alignment horizontal="left" vertical="center" indent="1"/>
    </xf>
    <xf numFmtId="0" fontId="0" fillId="15" borderId="0" xfId="0" applyFill="1"/>
    <xf numFmtId="0" fontId="16" fillId="15" borderId="0" xfId="0" applyFont="1" applyFill="1" applyAlignment="1">
      <alignment vertical="center"/>
    </xf>
    <xf numFmtId="0" fontId="0" fillId="0" borderId="0" xfId="0" applyAlignment="1">
      <alignment horizontal="right" vertical="center" indent="1"/>
    </xf>
    <xf numFmtId="0" fontId="18" fillId="11" borderId="0" xfId="0" applyFont="1" applyFill="1" applyAlignment="1">
      <alignment horizontal="center" wrapText="1"/>
    </xf>
    <xf numFmtId="0" fontId="18" fillId="8" borderId="0" xfId="0" applyFont="1" applyFill="1" applyAlignment="1">
      <alignment horizontal="center" wrapText="1"/>
    </xf>
    <xf numFmtId="0" fontId="18" fillId="15" borderId="0" xfId="0" applyFont="1" applyFill="1"/>
    <xf numFmtId="0" fontId="17" fillId="0" borderId="0" xfId="0" applyFont="1"/>
    <xf numFmtId="0" fontId="17" fillId="0" borderId="0" xfId="0" applyFont="1" applyAlignment="1">
      <alignment horizontal="left" vertical="center" indent="2"/>
    </xf>
    <xf numFmtId="0" fontId="4" fillId="15" borderId="0" xfId="2" applyFill="1"/>
    <xf numFmtId="0" fontId="0" fillId="0" borderId="0" xfId="0" applyAlignment="1">
      <alignment horizontal="left" vertical="top"/>
    </xf>
    <xf numFmtId="0" fontId="0" fillId="0" borderId="0" xfId="0" applyAlignment="1">
      <alignment vertical="top"/>
    </xf>
    <xf numFmtId="0" fontId="17" fillId="0" borderId="0" xfId="0" applyFont="1" applyAlignment="1">
      <alignment horizontal="left" vertical="center" indent="3"/>
    </xf>
    <xf numFmtId="0" fontId="0" fillId="0" borderId="0" xfId="0" applyAlignment="1">
      <alignment horizontal="left" vertical="center"/>
    </xf>
    <xf numFmtId="0" fontId="11" fillId="15" borderId="0" xfId="0" applyFont="1" applyFill="1" applyAlignment="1">
      <alignment horizontal="center" wrapText="1"/>
    </xf>
    <xf numFmtId="0" fontId="11" fillId="8" borderId="0" xfId="0" applyFont="1" applyFill="1" applyAlignment="1">
      <alignment horizontal="center" vertical="top" wrapText="1"/>
    </xf>
    <xf numFmtId="0" fontId="11" fillId="0" borderId="0" xfId="0" applyFont="1" applyAlignment="1">
      <alignment vertical="top" wrapText="1"/>
    </xf>
    <xf numFmtId="0" fontId="18" fillId="15" borderId="0" xfId="0" applyFont="1" applyFill="1" applyAlignment="1">
      <alignment vertical="center"/>
    </xf>
    <xf numFmtId="0" fontId="18" fillId="15" borderId="0" xfId="0" applyFont="1" applyFill="1" applyAlignment="1">
      <alignment horizontal="left" vertical="top" wrapText="1"/>
    </xf>
    <xf numFmtId="0" fontId="11" fillId="15" borderId="0" xfId="0" applyFont="1" applyFill="1" applyAlignment="1">
      <alignment wrapText="1"/>
    </xf>
    <xf numFmtId="0" fontId="16" fillId="11" borderId="0" xfId="0" applyFont="1" applyFill="1" applyAlignment="1">
      <alignment vertical="center"/>
    </xf>
    <xf numFmtId="0" fontId="18" fillId="11" borderId="0" xfId="0" applyFont="1" applyFill="1" applyAlignment="1">
      <alignment vertical="center"/>
    </xf>
    <xf numFmtId="0" fontId="0" fillId="15" borderId="0" xfId="0" applyFill="1" applyAlignment="1">
      <alignment horizontal="left" vertical="center" indent="1"/>
    </xf>
    <xf numFmtId="0" fontId="0" fillId="12" borderId="0" xfId="0" applyFill="1" applyAlignment="1">
      <alignment horizontal="left" vertical="center" indent="1"/>
    </xf>
    <xf numFmtId="0" fontId="11" fillId="15" borderId="0" xfId="0" applyFont="1" applyFill="1"/>
    <xf numFmtId="0" fontId="14" fillId="15" borderId="0" xfId="0" applyFont="1" applyFill="1"/>
    <xf numFmtId="0" fontId="14" fillId="15" borderId="0" xfId="0" applyFont="1" applyFill="1" applyAlignment="1">
      <alignment horizontal="center"/>
    </xf>
    <xf numFmtId="0" fontId="11" fillId="15" borderId="0" xfId="0" applyFont="1" applyFill="1" applyAlignment="1">
      <alignment horizontal="center"/>
    </xf>
    <xf numFmtId="0" fontId="21" fillId="0" borderId="0" xfId="0" applyFont="1" applyAlignment="1">
      <alignment horizontal="center"/>
    </xf>
    <xf numFmtId="0" fontId="21" fillId="0" borderId="0" xfId="0" applyFont="1"/>
    <xf numFmtId="0" fontId="17" fillId="15" borderId="0" xfId="0" applyFont="1" applyFill="1"/>
    <xf numFmtId="0" fontId="13" fillId="15" borderId="0" xfId="0" applyFont="1" applyFill="1"/>
    <xf numFmtId="0" fontId="13" fillId="15" borderId="0" xfId="0" applyFont="1" applyFill="1" applyAlignment="1">
      <alignment horizontal="center"/>
    </xf>
    <xf numFmtId="0" fontId="4" fillId="0" borderId="0" xfId="2" applyFill="1"/>
    <xf numFmtId="0" fontId="18" fillId="11" borderId="0" xfId="0" applyFont="1" applyFill="1" applyAlignment="1">
      <alignment vertical="top" wrapText="1"/>
    </xf>
    <xf numFmtId="0" fontId="18" fillId="11" borderId="0" xfId="0" applyFont="1" applyFill="1" applyAlignment="1">
      <alignment horizontal="center" vertical="top" wrapText="1"/>
    </xf>
    <xf numFmtId="0" fontId="18" fillId="8" borderId="0" xfId="0" applyFont="1" applyFill="1" applyAlignment="1">
      <alignment horizontal="center" vertical="top" wrapText="1"/>
    </xf>
    <xf numFmtId="0" fontId="18" fillId="0" borderId="0" xfId="0" applyFont="1" applyAlignment="1">
      <alignment vertical="top" wrapText="1"/>
    </xf>
    <xf numFmtId="0" fontId="11" fillId="0" borderId="0" xfId="0" applyFont="1" applyAlignment="1">
      <alignment horizontal="center" wrapText="1"/>
    </xf>
    <xf numFmtId="0" fontId="18" fillId="0" borderId="0" xfId="0" applyFont="1" applyAlignment="1">
      <alignment wrapText="1"/>
    </xf>
    <xf numFmtId="0" fontId="17" fillId="11" borderId="0" xfId="0" applyFont="1" applyFill="1"/>
    <xf numFmtId="0" fontId="17" fillId="11" borderId="0" xfId="0" applyFont="1" applyFill="1" applyAlignment="1">
      <alignment horizontal="left"/>
    </xf>
    <xf numFmtId="0" fontId="0" fillId="12" borderId="0" xfId="0" applyFill="1"/>
    <xf numFmtId="0" fontId="0" fillId="17" borderId="0" xfId="0" applyFill="1" applyAlignment="1">
      <alignment horizontal="left" vertical="center" indent="1"/>
    </xf>
    <xf numFmtId="0" fontId="0" fillId="17" borderId="0" xfId="0" applyFill="1"/>
    <xf numFmtId="0" fontId="16" fillId="11" borderId="0" xfId="0" applyFont="1" applyFill="1" applyAlignment="1">
      <alignment horizontal="center" vertical="center"/>
    </xf>
    <xf numFmtId="0" fontId="0" fillId="0" borderId="0" xfId="0" applyAlignment="1">
      <alignment vertical="center" wrapText="1"/>
    </xf>
    <xf numFmtId="9" fontId="0" fillId="0" borderId="0" xfId="0" applyNumberFormat="1" applyAlignment="1">
      <alignment vertical="center" wrapText="1"/>
    </xf>
    <xf numFmtId="0" fontId="17" fillId="0" borderId="0" xfId="0" applyFont="1" applyAlignment="1">
      <alignment vertical="center" wrapText="1"/>
    </xf>
    <xf numFmtId="0" fontId="17" fillId="0" borderId="0" xfId="0" applyFont="1" applyAlignment="1">
      <alignment vertical="center"/>
    </xf>
    <xf numFmtId="0" fontId="17" fillId="0" borderId="0" xfId="0" applyFont="1" applyAlignment="1">
      <alignment horizontal="center" vertical="center" wrapText="1"/>
    </xf>
    <xf numFmtId="0" fontId="17" fillId="0" borderId="0" xfId="0" applyFont="1" applyAlignment="1">
      <alignment vertical="top" wrapText="1"/>
    </xf>
    <xf numFmtId="0" fontId="0" fillId="0" borderId="0" xfId="0" applyAlignment="1">
      <alignment horizontal="left" vertical="top" wrapText="1"/>
    </xf>
    <xf numFmtId="0" fontId="0" fillId="12" borderId="0" xfId="0" applyFill="1" applyAlignment="1">
      <alignment vertical="top"/>
    </xf>
    <xf numFmtId="0" fontId="19" fillId="16" borderId="0" xfId="0" applyFont="1" applyFill="1" applyAlignment="1">
      <alignment vertical="center"/>
    </xf>
    <xf numFmtId="0" fontId="0" fillId="16" borderId="0" xfId="0" applyFill="1"/>
    <xf numFmtId="0" fontId="16" fillId="15" borderId="0" xfId="0" applyFont="1" applyFill="1" applyAlignment="1">
      <alignment horizontal="left" vertical="top"/>
    </xf>
    <xf numFmtId="0" fontId="17" fillId="12" borderId="0" xfId="0" applyFont="1" applyFill="1"/>
    <xf numFmtId="0" fontId="17" fillId="12" borderId="0" xfId="0" applyFont="1" applyFill="1" applyAlignment="1">
      <alignment horizontal="left" vertical="center" indent="1"/>
    </xf>
    <xf numFmtId="0" fontId="16" fillId="12" borderId="0" xfId="0" applyFont="1" applyFill="1" applyAlignment="1">
      <alignment vertical="center"/>
    </xf>
    <xf numFmtId="0" fontId="22" fillId="0" borderId="0" xfId="0" applyFont="1" applyAlignment="1">
      <alignment horizontal="left" vertical="center" wrapText="1"/>
    </xf>
    <xf numFmtId="0" fontId="24" fillId="0" borderId="0" xfId="0" applyFont="1" applyAlignment="1">
      <alignment horizontal="left" vertical="center" wrapText="1"/>
    </xf>
    <xf numFmtId="0" fontId="23" fillId="0" borderId="0" xfId="0" applyFont="1" applyAlignment="1">
      <alignment horizontal="left" vertical="center" wrapText="1"/>
    </xf>
    <xf numFmtId="0" fontId="22" fillId="12" borderId="0" xfId="0" applyFont="1" applyFill="1" applyAlignment="1">
      <alignment horizontal="left" vertical="center" wrapText="1"/>
    </xf>
    <xf numFmtId="0" fontId="24" fillId="12" borderId="0" xfId="0" applyFont="1" applyFill="1" applyAlignment="1">
      <alignment horizontal="left" vertical="center" wrapText="1"/>
    </xf>
    <xf numFmtId="0" fontId="23" fillId="12" borderId="0" xfId="0" applyFont="1" applyFill="1" applyAlignment="1">
      <alignment horizontal="left" vertical="center" wrapText="1"/>
    </xf>
    <xf numFmtId="0" fontId="23" fillId="15" borderId="0" xfId="0" applyFont="1" applyFill="1" applyAlignment="1">
      <alignment horizontal="left" vertical="center" wrapText="1"/>
    </xf>
    <xf numFmtId="0" fontId="17" fillId="15" borderId="0" xfId="0" applyFont="1" applyFill="1" applyAlignment="1">
      <alignment horizontal="left" vertical="center" indent="1"/>
    </xf>
    <xf numFmtId="0" fontId="18" fillId="15" borderId="0" xfId="0" applyFont="1" applyFill="1" applyAlignment="1">
      <alignment vertical="top" wrapText="1"/>
    </xf>
    <xf numFmtId="0" fontId="18" fillId="15" borderId="0" xfId="0" applyFont="1" applyFill="1" applyAlignment="1">
      <alignment horizontal="center" vertical="top" wrapText="1"/>
    </xf>
    <xf numFmtId="0" fontId="0" fillId="0" borderId="0" xfId="0" applyAlignment="1">
      <alignment horizontal="right"/>
    </xf>
    <xf numFmtId="0" fontId="0" fillId="16" borderId="0" xfId="0" applyFill="1" applyAlignment="1">
      <alignment horizontal="right" vertical="center" indent="1"/>
    </xf>
    <xf numFmtId="0" fontId="0" fillId="16" borderId="0" xfId="0" applyFill="1" applyAlignment="1">
      <alignment horizontal="left" vertical="center" indent="1"/>
    </xf>
    <xf numFmtId="0" fontId="0" fillId="15" borderId="0" xfId="0" applyFill="1" applyAlignment="1">
      <alignment horizontal="right" vertical="center" indent="1"/>
    </xf>
    <xf numFmtId="0" fontId="17" fillId="16" borderId="0" xfId="0" applyFont="1" applyFill="1"/>
    <xf numFmtId="0" fontId="18" fillId="8" borderId="0" xfId="0" applyFont="1" applyFill="1" applyAlignment="1">
      <alignment vertical="top" wrapText="1"/>
    </xf>
    <xf numFmtId="0" fontId="27" fillId="0" borderId="0" xfId="0" applyFont="1" applyAlignment="1">
      <alignment vertical="center"/>
    </xf>
    <xf numFmtId="0" fontId="28" fillId="0" borderId="0" xfId="0" applyFont="1" applyAlignment="1">
      <alignment vertical="center"/>
    </xf>
    <xf numFmtId="0" fontId="17" fillId="12" borderId="0" xfId="0" applyFont="1" applyFill="1" applyAlignment="1">
      <alignment horizontal="left" vertical="center" indent="2"/>
    </xf>
    <xf numFmtId="0" fontId="11" fillId="8" borderId="0" xfId="0" applyFont="1" applyFill="1" applyAlignment="1">
      <alignment horizontal="left" vertical="top" wrapText="1"/>
    </xf>
    <xf numFmtId="0" fontId="0" fillId="15" borderId="0" xfId="0" applyFill="1" applyAlignment="1">
      <alignment horizontal="left" vertical="top"/>
    </xf>
    <xf numFmtId="0" fontId="0" fillId="16" borderId="0" xfId="0" applyFill="1" applyAlignment="1">
      <alignment horizontal="center"/>
    </xf>
    <xf numFmtId="0" fontId="11" fillId="16" borderId="0" xfId="0" applyFont="1" applyFill="1"/>
    <xf numFmtId="0" fontId="17" fillId="15" borderId="0" xfId="0" applyFont="1" applyFill="1" applyAlignment="1">
      <alignment horizontal="left" vertical="center" indent="2"/>
    </xf>
    <xf numFmtId="0" fontId="17" fillId="12" borderId="0" xfId="0" applyFont="1" applyFill="1" applyAlignment="1">
      <alignment horizontal="left" vertical="center" indent="3"/>
    </xf>
    <xf numFmtId="9" fontId="11" fillId="0" borderId="0" xfId="0" applyNumberFormat="1" applyFont="1"/>
    <xf numFmtId="0" fontId="12" fillId="15" borderId="0" xfId="0" applyFont="1" applyFill="1"/>
    <xf numFmtId="0" fontId="12" fillId="15" borderId="0" xfId="0" applyFont="1" applyFill="1" applyAlignment="1">
      <alignment horizontal="center"/>
    </xf>
    <xf numFmtId="0" fontId="11" fillId="8" borderId="0" xfId="0" applyFont="1" applyFill="1" applyAlignment="1">
      <alignment horizontal="left" wrapText="1"/>
    </xf>
    <xf numFmtId="0" fontId="16" fillId="11" borderId="0" xfId="0" applyFont="1" applyFill="1" applyAlignment="1">
      <alignment vertical="center" wrapText="1"/>
    </xf>
    <xf numFmtId="0" fontId="0" fillId="12" borderId="0" xfId="0" applyFill="1" applyAlignment="1">
      <alignment wrapText="1"/>
    </xf>
    <xf numFmtId="0" fontId="0" fillId="0" borderId="0" xfId="0" applyAlignment="1">
      <alignment wrapText="1"/>
    </xf>
    <xf numFmtId="0" fontId="16" fillId="11" borderId="0" xfId="0" applyFont="1" applyFill="1" applyAlignment="1">
      <alignment horizontal="center" vertical="center" wrapText="1"/>
    </xf>
    <xf numFmtId="0" fontId="0" fillId="12" borderId="0" xfId="0" applyFill="1" applyAlignment="1">
      <alignment horizontal="center" wrapText="1"/>
    </xf>
    <xf numFmtId="0" fontId="0" fillId="0" borderId="0" xfId="0" applyAlignment="1">
      <alignment horizontal="center" wrapText="1"/>
    </xf>
    <xf numFmtId="0" fontId="11" fillId="17" borderId="0" xfId="0" applyFont="1" applyFill="1"/>
    <xf numFmtId="0" fontId="29" fillId="17" borderId="0" xfId="2" quotePrefix="1" applyFont="1" applyFill="1" applyBorder="1" applyAlignment="1"/>
    <xf numFmtId="0" fontId="18" fillId="17" borderId="0" xfId="0" applyFont="1" applyFill="1" applyAlignment="1">
      <alignment vertical="center"/>
    </xf>
    <xf numFmtId="0" fontId="11" fillId="17" borderId="0" xfId="0" applyFont="1" applyFill="1" applyAlignment="1">
      <alignment horizontal="left" vertical="center"/>
    </xf>
    <xf numFmtId="0" fontId="18" fillId="17" borderId="0" xfId="0" applyFont="1" applyFill="1" applyAlignment="1">
      <alignment horizontal="left" vertical="center"/>
    </xf>
    <xf numFmtId="0" fontId="29" fillId="17" borderId="0" xfId="2" applyFont="1" applyFill="1" applyBorder="1" applyAlignment="1"/>
    <xf numFmtId="0" fontId="18" fillId="17" borderId="0" xfId="0" applyFont="1" applyFill="1"/>
    <xf numFmtId="0" fontId="20" fillId="17" borderId="0" xfId="0" applyFont="1" applyFill="1" applyAlignment="1">
      <alignment vertical="center"/>
    </xf>
    <xf numFmtId="0" fontId="11" fillId="17" borderId="0" xfId="0" applyFont="1" applyFill="1" applyAlignment="1">
      <alignment vertical="center"/>
    </xf>
    <xf numFmtId="0" fontId="4" fillId="17" borderId="0" xfId="2" quotePrefix="1" applyFill="1"/>
    <xf numFmtId="0" fontId="16" fillId="17" borderId="0" xfId="0" applyFont="1" applyFill="1" applyAlignment="1">
      <alignment vertical="center"/>
    </xf>
    <xf numFmtId="0" fontId="17" fillId="17" borderId="0" xfId="0" applyFont="1" applyFill="1" applyAlignment="1">
      <alignment horizontal="left" vertical="center" indent="3"/>
    </xf>
    <xf numFmtId="0" fontId="17" fillId="17" borderId="0" xfId="0" applyFont="1" applyFill="1" applyAlignment="1">
      <alignment horizontal="left" vertical="center" indent="1"/>
    </xf>
    <xf numFmtId="0" fontId="0" fillId="17" borderId="0" xfId="0" applyFill="1" applyAlignment="1">
      <alignment horizontal="left" vertical="center" indent="2"/>
    </xf>
    <xf numFmtId="0" fontId="4" fillId="17" borderId="0" xfId="2" applyFill="1"/>
    <xf numFmtId="0" fontId="4" fillId="17" borderId="0" xfId="2" applyFill="1" applyBorder="1" applyAlignment="1"/>
    <xf numFmtId="0" fontId="0" fillId="17" borderId="0" xfId="0" applyFill="1" applyAlignment="1">
      <alignment horizontal="left" vertical="center" indent="3"/>
    </xf>
    <xf numFmtId="0" fontId="10" fillId="17" borderId="0" xfId="0" applyFont="1" applyFill="1"/>
    <xf numFmtId="0" fontId="15" fillId="17" borderId="0" xfId="0" applyFont="1" applyFill="1"/>
    <xf numFmtId="0" fontId="29" fillId="0" borderId="0" xfId="2" applyFont="1"/>
    <xf numFmtId="0" fontId="29" fillId="0" borderId="0" xfId="2" quotePrefix="1" applyFont="1"/>
    <xf numFmtId="0" fontId="11" fillId="0" borderId="0" xfId="0" quotePrefix="1" applyFont="1"/>
    <xf numFmtId="0" fontId="0" fillId="12" borderId="0" xfId="0" applyFill="1" applyAlignment="1">
      <alignment horizontal="right" vertical="center" indent="1"/>
    </xf>
    <xf numFmtId="0" fontId="3" fillId="0" borderId="0" xfId="0" applyFont="1"/>
    <xf numFmtId="0" fontId="30" fillId="0" borderId="0" xfId="0" applyFont="1" applyAlignment="1">
      <alignment horizontal="center" vertical="top"/>
    </xf>
    <xf numFmtId="0" fontId="31" fillId="0" borderId="0" xfId="0" applyFont="1" applyAlignment="1">
      <alignment horizontal="center" vertical="top"/>
    </xf>
    <xf numFmtId="0" fontId="30" fillId="0" borderId="2" xfId="0" applyFont="1" applyBorder="1" applyAlignment="1">
      <alignment horizontal="center" vertical="top"/>
    </xf>
    <xf numFmtId="0" fontId="2" fillId="0" borderId="2" xfId="1" applyBorder="1"/>
    <xf numFmtId="0" fontId="2" fillId="0" borderId="2" xfId="1" applyBorder="1" applyAlignment="1">
      <alignment horizontal="center"/>
    </xf>
    <xf numFmtId="0" fontId="32" fillId="17" borderId="0" xfId="0" applyFont="1" applyFill="1"/>
    <xf numFmtId="0" fontId="1" fillId="17" borderId="0" xfId="0" applyFont="1" applyFill="1"/>
    <xf numFmtId="14" fontId="32" fillId="17" borderId="0" xfId="0" applyNumberFormat="1" applyFont="1" applyFill="1"/>
    <xf numFmtId="0" fontId="15" fillId="17" borderId="0" xfId="0" applyFont="1" applyFill="1" applyAlignment="1">
      <alignment horizontal="left" vertical="top" wrapText="1"/>
    </xf>
    <xf numFmtId="0" fontId="18" fillId="11" borderId="0" xfId="0" applyFont="1" applyFill="1" applyAlignment="1">
      <alignment horizontal="center" vertical="center"/>
    </xf>
    <xf numFmtId="0" fontId="11" fillId="17" borderId="0" xfId="0" applyFont="1" applyFill="1" applyAlignment="1">
      <alignment horizontal="left"/>
    </xf>
    <xf numFmtId="0" fontId="11" fillId="17" borderId="0" xfId="0" applyFont="1" applyFill="1" applyAlignment="1">
      <alignment horizontal="left" vertical="top" wrapText="1"/>
    </xf>
    <xf numFmtId="0" fontId="1" fillId="13" borderId="2" xfId="0" applyFont="1" applyFill="1" applyBorder="1" applyAlignment="1">
      <alignment horizontal="center"/>
    </xf>
    <xf numFmtId="0" fontId="1" fillId="11" borderId="0" xfId="0" applyFont="1" applyFill="1" applyAlignment="1">
      <alignment horizontal="center"/>
    </xf>
    <xf numFmtId="0" fontId="18" fillId="11" borderId="0" xfId="0" applyFont="1" applyFill="1" applyAlignment="1">
      <alignment horizontal="center" wrapText="1"/>
    </xf>
    <xf numFmtId="0" fontId="11" fillId="11" borderId="0" xfId="0" applyFont="1" applyFill="1" applyAlignment="1">
      <alignment horizontal="center" wrapText="1"/>
    </xf>
    <xf numFmtId="0" fontId="2" fillId="6" borderId="0" xfId="1" applyFill="1" applyAlignment="1">
      <alignment horizontal="center" wrapText="1"/>
    </xf>
    <xf numFmtId="0" fontId="9" fillId="10" borderId="0" xfId="1" applyFont="1" applyFill="1" applyAlignment="1">
      <alignment horizontal="center"/>
    </xf>
  </cellXfs>
  <cellStyles count="5">
    <cellStyle name="Hipervínculo" xfId="2" builtinId="8"/>
    <cellStyle name="Millares 2" xfId="3" xr:uid="{DFB09D77-FDF3-D44B-8462-227172BE04B0}"/>
    <cellStyle name="Normal" xfId="0" builtinId="0"/>
    <cellStyle name="Normal 2" xfId="1" xr:uid="{DB1C52DD-5231-1240-9B8D-0A07267C149D}"/>
    <cellStyle name="Porcentaje 2" xfId="4" xr:uid="{A6D463DF-F690-474A-8EDC-549C3ADE44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hyperlink" Target="https://datosmacro.expansion.com/paises/comparar/espana/francia?sector=Emisiones+CO2+toneladas+per+capita&amp;sc=XNC1#tbl" TargetMode="External"/></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8</xdr:col>
      <xdr:colOff>131445</xdr:colOff>
      <xdr:row>13</xdr:row>
      <xdr:rowOff>80288</xdr:rowOff>
    </xdr:to>
    <xdr:pic>
      <xdr:nvPicPr>
        <xdr:cNvPr id="2" name="Imagen 1">
          <a:extLst>
            <a:ext uri="{FF2B5EF4-FFF2-40B4-BE49-F238E27FC236}">
              <a16:creationId xmlns:a16="http://schemas.microsoft.com/office/drawing/2014/main" id="{C8ED3087-D1C5-E774-056F-D19FF04D5367}"/>
            </a:ext>
          </a:extLst>
        </xdr:cNvPr>
        <xdr:cNvPicPr>
          <a:picLocks noChangeAspect="1"/>
        </xdr:cNvPicPr>
      </xdr:nvPicPr>
      <xdr:blipFill>
        <a:blip xmlns:r="http://schemas.openxmlformats.org/officeDocument/2006/relationships" r:embed="rId1"/>
        <a:stretch>
          <a:fillRect/>
        </a:stretch>
      </xdr:blipFill>
      <xdr:spPr>
        <a:xfrm>
          <a:off x="1651000" y="609600"/>
          <a:ext cx="7772400" cy="2112288"/>
        </a:xfrm>
        <a:prstGeom prst="rect">
          <a:avLst/>
        </a:prstGeom>
      </xdr:spPr>
    </xdr:pic>
    <xdr:clientData/>
  </xdr:twoCellAnchor>
  <xdr:twoCellAnchor editAs="oneCell">
    <xdr:from>
      <xdr:col>2</xdr:col>
      <xdr:colOff>0</xdr:colOff>
      <xdr:row>17</xdr:row>
      <xdr:rowOff>0</xdr:rowOff>
    </xdr:from>
    <xdr:to>
      <xdr:col>11</xdr:col>
      <xdr:colOff>825500</xdr:colOff>
      <xdr:row>27</xdr:row>
      <xdr:rowOff>83174</xdr:rowOff>
    </xdr:to>
    <xdr:pic>
      <xdr:nvPicPr>
        <xdr:cNvPr id="3" name="Imagen 2">
          <a:extLst>
            <a:ext uri="{FF2B5EF4-FFF2-40B4-BE49-F238E27FC236}">
              <a16:creationId xmlns:a16="http://schemas.microsoft.com/office/drawing/2014/main" id="{05BE5736-5B6E-8A1A-2E38-570E2254D6BB}"/>
            </a:ext>
          </a:extLst>
        </xdr:cNvPr>
        <xdr:cNvPicPr>
          <a:picLocks noChangeAspect="1"/>
        </xdr:cNvPicPr>
      </xdr:nvPicPr>
      <xdr:blipFill>
        <a:blip xmlns:r="http://schemas.openxmlformats.org/officeDocument/2006/relationships" r:embed="rId2"/>
        <a:stretch>
          <a:fillRect/>
        </a:stretch>
      </xdr:blipFill>
      <xdr:spPr>
        <a:xfrm>
          <a:off x="1676400" y="3644900"/>
          <a:ext cx="11074400" cy="61918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177800</xdr:colOff>
      <xdr:row>0</xdr:row>
      <xdr:rowOff>76200</xdr:rowOff>
    </xdr:from>
    <xdr:to>
      <xdr:col>2</xdr:col>
      <xdr:colOff>190500</xdr:colOff>
      <xdr:row>1</xdr:row>
      <xdr:rowOff>249593</xdr:rowOff>
    </xdr:to>
    <xdr:pic>
      <xdr:nvPicPr>
        <xdr:cNvPr id="2" name="Imagen 1">
          <a:extLst>
            <a:ext uri="{FF2B5EF4-FFF2-40B4-BE49-F238E27FC236}">
              <a16:creationId xmlns:a16="http://schemas.microsoft.com/office/drawing/2014/main" id="{B7048708-C8FA-5276-7C49-3B9427347F8C}"/>
            </a:ext>
          </a:extLst>
        </xdr:cNvPr>
        <xdr:cNvPicPr>
          <a:picLocks noChangeAspect="1"/>
        </xdr:cNvPicPr>
      </xdr:nvPicPr>
      <xdr:blipFill>
        <a:blip xmlns:r="http://schemas.openxmlformats.org/officeDocument/2006/relationships" r:embed="rId1"/>
        <a:stretch>
          <a:fillRect/>
        </a:stretch>
      </xdr:blipFill>
      <xdr:spPr>
        <a:xfrm>
          <a:off x="177800" y="76200"/>
          <a:ext cx="1689100" cy="47819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63500</xdr:colOff>
      <xdr:row>0</xdr:row>
      <xdr:rowOff>71120</xdr:rowOff>
    </xdr:from>
    <xdr:to>
      <xdr:col>3</xdr:col>
      <xdr:colOff>4168140</xdr:colOff>
      <xdr:row>9</xdr:row>
      <xdr:rowOff>16788</xdr:rowOff>
    </xdr:to>
    <xdr:pic>
      <xdr:nvPicPr>
        <xdr:cNvPr id="2" name="Imagen 1">
          <a:extLst>
            <a:ext uri="{FF2B5EF4-FFF2-40B4-BE49-F238E27FC236}">
              <a16:creationId xmlns:a16="http://schemas.microsoft.com/office/drawing/2014/main" id="{48CBD863-74A1-4C52-8172-61D239BDDAE1}"/>
            </a:ext>
          </a:extLst>
        </xdr:cNvPr>
        <xdr:cNvPicPr>
          <a:picLocks noChangeAspect="1"/>
        </xdr:cNvPicPr>
      </xdr:nvPicPr>
      <xdr:blipFill>
        <a:blip xmlns:r="http://schemas.openxmlformats.org/officeDocument/2006/relationships" r:embed="rId1"/>
        <a:stretch>
          <a:fillRect/>
        </a:stretch>
      </xdr:blipFill>
      <xdr:spPr>
        <a:xfrm>
          <a:off x="901700" y="71120"/>
          <a:ext cx="7825740" cy="21173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863600</xdr:colOff>
      <xdr:row>3</xdr:row>
      <xdr:rowOff>71793</xdr:rowOff>
    </xdr:to>
    <xdr:pic>
      <xdr:nvPicPr>
        <xdr:cNvPr id="2" name="Imagen 1">
          <a:extLst>
            <a:ext uri="{FF2B5EF4-FFF2-40B4-BE49-F238E27FC236}">
              <a16:creationId xmlns:a16="http://schemas.microsoft.com/office/drawing/2014/main" id="{ED333E27-6740-DE4D-8479-D6424CA19958}"/>
            </a:ext>
          </a:extLst>
        </xdr:cNvPr>
        <xdr:cNvPicPr>
          <a:picLocks noChangeAspect="1"/>
        </xdr:cNvPicPr>
      </xdr:nvPicPr>
      <xdr:blipFill>
        <a:blip xmlns:r="http://schemas.openxmlformats.org/officeDocument/2006/relationships" r:embed="rId1"/>
        <a:stretch>
          <a:fillRect/>
        </a:stretch>
      </xdr:blipFill>
      <xdr:spPr>
        <a:xfrm>
          <a:off x="279400" y="203200"/>
          <a:ext cx="1689100" cy="47819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230908</xdr:colOff>
      <xdr:row>39</xdr:row>
      <xdr:rowOff>17317</xdr:rowOff>
    </xdr:from>
    <xdr:ext cx="715819" cy="715819"/>
    <xdr:pic>
      <xdr:nvPicPr>
        <xdr:cNvPr id="3" name="Imagen 2" descr="chart">
          <a:hlinkClick xmlns:r="http://schemas.openxmlformats.org/officeDocument/2006/relationships" r:id="rId1" tooltip="Comparar Emisiones CO2 toneladas per capita"/>
          <a:extLst>
            <a:ext uri="{FF2B5EF4-FFF2-40B4-BE49-F238E27FC236}">
              <a16:creationId xmlns:a16="http://schemas.microsoft.com/office/drawing/2014/main" id="{83834148-9AA0-0440-90B6-E4F4D1FB91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67544" y="8526317"/>
          <a:ext cx="715819" cy="71581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datosmacro.expansion.com/energia-y-medio-ambiente/emisiones-co2/espan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44968F-8C1A-6747-845F-5DFDB9961172}">
  <dimension ref="A16:AD31"/>
  <sheetViews>
    <sheetView workbookViewId="0">
      <selection activeCell="J17" sqref="J17"/>
    </sheetView>
  </sheetViews>
  <sheetFormatPr baseColWidth="10" defaultColWidth="11" defaultRowHeight="16" x14ac:dyDescent="0.2"/>
  <cols>
    <col min="1" max="2" width="11" style="107"/>
    <col min="3" max="3" width="40.33203125" style="107" customWidth="1"/>
    <col min="4" max="4" width="11.5" style="107" bestFit="1" customWidth="1"/>
    <col min="5" max="6" width="11" style="107"/>
    <col min="7" max="7" width="16.6640625" style="107" customWidth="1"/>
    <col min="8" max="23" width="11" style="107"/>
    <col min="30" max="30" width="26.6640625" hidden="1" customWidth="1"/>
  </cols>
  <sheetData>
    <row r="16" spans="3:10" ht="31" x14ac:dyDescent="0.35">
      <c r="C16" s="175" t="s">
        <v>0</v>
      </c>
      <c r="J16" s="107" t="s">
        <v>855</v>
      </c>
    </row>
    <row r="17" spans="3:13" x14ac:dyDescent="0.2">
      <c r="C17"/>
    </row>
    <row r="20" spans="3:13" ht="121" customHeight="1" x14ac:dyDescent="0.2">
      <c r="C20" s="190"/>
      <c r="D20" s="190"/>
      <c r="E20" s="190"/>
      <c r="F20" s="190"/>
      <c r="G20" s="190"/>
      <c r="H20" s="190"/>
      <c r="I20" s="190"/>
      <c r="J20" s="190"/>
      <c r="K20" s="190"/>
      <c r="L20" s="190"/>
    </row>
    <row r="21" spans="3:13" ht="103" customHeight="1" x14ac:dyDescent="0.2">
      <c r="C21" s="190"/>
      <c r="D21" s="190"/>
      <c r="E21" s="190"/>
      <c r="F21" s="190"/>
      <c r="G21" s="190"/>
      <c r="H21" s="190"/>
      <c r="I21" s="190"/>
      <c r="J21" s="190"/>
      <c r="K21" s="190"/>
      <c r="L21" s="190"/>
    </row>
    <row r="22" spans="3:13" ht="110" customHeight="1" x14ac:dyDescent="0.2">
      <c r="C22" s="190"/>
      <c r="D22" s="190"/>
      <c r="E22" s="190"/>
      <c r="F22" s="190"/>
      <c r="G22" s="190"/>
      <c r="H22" s="190"/>
      <c r="I22" s="190"/>
      <c r="J22" s="190"/>
      <c r="K22" s="190"/>
      <c r="L22" s="190"/>
    </row>
    <row r="23" spans="3:13" ht="23" x14ac:dyDescent="0.25">
      <c r="C23" s="176"/>
    </row>
    <row r="24" spans="3:13" ht="23" x14ac:dyDescent="0.25">
      <c r="C24" s="176"/>
    </row>
    <row r="25" spans="3:13" ht="23" x14ac:dyDescent="0.25">
      <c r="C25" s="176"/>
    </row>
    <row r="26" spans="3:13" ht="23" x14ac:dyDescent="0.25">
      <c r="C26" s="176"/>
    </row>
    <row r="27" spans="3:13" ht="23" x14ac:dyDescent="0.25">
      <c r="C27" s="176"/>
    </row>
    <row r="28" spans="3:13" ht="31" customHeight="1" x14ac:dyDescent="0.25">
      <c r="C28" s="187" t="s">
        <v>1</v>
      </c>
      <c r="D28" s="188"/>
      <c r="E28" s="188"/>
      <c r="F28" s="187" t="s">
        <v>849</v>
      </c>
      <c r="G28" s="189">
        <v>45589</v>
      </c>
      <c r="H28" s="188"/>
      <c r="I28" s="187" t="s">
        <v>2</v>
      </c>
      <c r="J28" s="188"/>
      <c r="K28" s="188"/>
      <c r="L28" s="188"/>
      <c r="M28" s="188"/>
    </row>
    <row r="29" spans="3:13" ht="21" x14ac:dyDescent="0.25">
      <c r="F29" s="187" t="s">
        <v>853</v>
      </c>
      <c r="G29" s="189">
        <v>44204</v>
      </c>
      <c r="I29" s="187" t="s">
        <v>854</v>
      </c>
    </row>
    <row r="31" spans="3:13" ht="23" x14ac:dyDescent="0.25">
      <c r="C31" s="176" t="s">
        <v>3</v>
      </c>
    </row>
  </sheetData>
  <mergeCells count="3">
    <mergeCell ref="C20:L20"/>
    <mergeCell ref="C21:L21"/>
    <mergeCell ref="C22:L2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B8CE5E-18A4-4CC0-B134-189C94A834C4}">
  <dimension ref="A1:AG68"/>
  <sheetViews>
    <sheetView topLeftCell="A8" zoomScaleNormal="100" workbookViewId="0">
      <selection activeCell="G20" sqref="G20"/>
    </sheetView>
  </sheetViews>
  <sheetFormatPr baseColWidth="10" defaultColWidth="11" defaultRowHeight="19" x14ac:dyDescent="0.25"/>
  <cols>
    <col min="1" max="3" width="11" style="158"/>
    <col min="4" max="4" width="12.1640625" style="158" customWidth="1"/>
    <col min="5" max="10" width="11" style="158"/>
    <col min="11" max="11" width="24.1640625" style="158" customWidth="1"/>
    <col min="12" max="33" width="11" style="107"/>
  </cols>
  <sheetData>
    <row r="1" spans="1:33" ht="24" x14ac:dyDescent="0.2">
      <c r="A1" s="191" t="s">
        <v>4</v>
      </c>
      <c r="B1" s="191"/>
      <c r="C1" s="191"/>
      <c r="D1" s="191"/>
      <c r="E1" s="191"/>
      <c r="F1" s="191"/>
      <c r="G1" s="191"/>
      <c r="H1" s="191"/>
      <c r="I1" s="191"/>
      <c r="J1" s="191"/>
      <c r="K1" s="191"/>
      <c r="T1" s="165"/>
    </row>
    <row r="2" spans="1:33" ht="29" customHeight="1" x14ac:dyDescent="0.2">
      <c r="A2" s="191"/>
      <c r="B2" s="191"/>
      <c r="C2" s="191"/>
      <c r="D2" s="191"/>
      <c r="E2" s="191"/>
      <c r="F2" s="191"/>
      <c r="G2" s="191"/>
      <c r="H2" s="191"/>
      <c r="I2" s="191"/>
      <c r="J2" s="191"/>
      <c r="K2" s="191"/>
    </row>
    <row r="3" spans="1:33" ht="61" customHeight="1" x14ac:dyDescent="0.2">
      <c r="A3" s="193" t="s">
        <v>848</v>
      </c>
      <c r="B3" s="193"/>
      <c r="C3" s="193"/>
      <c r="D3" s="193"/>
      <c r="E3" s="193"/>
      <c r="F3" s="193"/>
      <c r="G3" s="193"/>
      <c r="H3" s="193"/>
      <c r="I3" s="193"/>
      <c r="J3" s="193"/>
      <c r="K3" s="193"/>
      <c r="L3" s="166"/>
      <c r="M3" s="166"/>
      <c r="N3" s="166"/>
      <c r="O3" s="166"/>
      <c r="P3" s="166"/>
      <c r="Q3" s="166"/>
      <c r="R3" s="166"/>
      <c r="S3" s="166"/>
      <c r="T3" s="166"/>
      <c r="U3" s="166"/>
      <c r="V3" s="166"/>
      <c r="W3" s="166"/>
    </row>
    <row r="4" spans="1:33" ht="48" customHeight="1" x14ac:dyDescent="0.2">
      <c r="A4" s="193" t="s">
        <v>612</v>
      </c>
      <c r="B4" s="193"/>
      <c r="C4" s="193"/>
      <c r="D4" s="193"/>
      <c r="E4" s="193"/>
      <c r="F4" s="193"/>
      <c r="G4" s="193"/>
      <c r="H4" s="193"/>
      <c r="I4" s="193"/>
      <c r="J4" s="193"/>
      <c r="K4" s="193"/>
    </row>
    <row r="5" spans="1:33" ht="16" x14ac:dyDescent="0.2">
      <c r="A5" s="192" t="s">
        <v>5</v>
      </c>
      <c r="B5" s="192"/>
      <c r="C5" s="192"/>
      <c r="D5" s="192"/>
      <c r="E5" s="192"/>
      <c r="F5" s="192"/>
      <c r="G5" s="192"/>
      <c r="H5" s="192"/>
      <c r="I5" s="192"/>
      <c r="J5" s="192"/>
      <c r="K5" s="192"/>
    </row>
    <row r="6" spans="1:33" ht="16" x14ac:dyDescent="0.2">
      <c r="A6" s="192"/>
      <c r="B6" s="192"/>
      <c r="C6" s="192"/>
      <c r="D6" s="192"/>
      <c r="E6" s="192"/>
      <c r="F6" s="192"/>
      <c r="G6" s="192"/>
      <c r="H6" s="192"/>
      <c r="I6" s="192"/>
      <c r="J6" s="192"/>
      <c r="K6" s="192"/>
    </row>
    <row r="7" spans="1:33" ht="51" customHeight="1" x14ac:dyDescent="0.25">
      <c r="A7" s="158" t="s">
        <v>6</v>
      </c>
    </row>
    <row r="8" spans="1:33" ht="34" customHeight="1" x14ac:dyDescent="0.25">
      <c r="A8" s="159" t="s">
        <v>7</v>
      </c>
      <c r="T8" s="167"/>
    </row>
    <row r="9" spans="1:33" x14ac:dyDescent="0.25">
      <c r="A9" s="159" t="s">
        <v>8</v>
      </c>
      <c r="T9" s="167"/>
    </row>
    <row r="10" spans="1:33" x14ac:dyDescent="0.25">
      <c r="A10" s="159" t="s">
        <v>9</v>
      </c>
      <c r="T10" s="167"/>
    </row>
    <row r="11" spans="1:33" x14ac:dyDescent="0.25">
      <c r="A11" s="159" t="s">
        <v>10</v>
      </c>
      <c r="T11" s="167"/>
    </row>
    <row r="12" spans="1:33" x14ac:dyDescent="0.25">
      <c r="A12" s="159" t="s">
        <v>11</v>
      </c>
      <c r="T12" s="167"/>
    </row>
    <row r="13" spans="1:33" x14ac:dyDescent="0.25">
      <c r="A13" s="159" t="s">
        <v>12</v>
      </c>
      <c r="T13" s="167"/>
    </row>
    <row r="14" spans="1:33" x14ac:dyDescent="0.25">
      <c r="A14" s="159"/>
      <c r="T14" s="167"/>
    </row>
    <row r="15" spans="1:33" x14ac:dyDescent="0.25">
      <c r="A15" s="160" t="s">
        <v>13</v>
      </c>
      <c r="T15" s="168"/>
      <c r="AG15" s="169"/>
    </row>
    <row r="16" spans="1:33" x14ac:dyDescent="0.25">
      <c r="A16" s="161"/>
      <c r="T16" s="106"/>
      <c r="AG16" s="169"/>
    </row>
    <row r="17" spans="1:33" x14ac:dyDescent="0.25">
      <c r="A17" s="162" t="s">
        <v>14</v>
      </c>
      <c r="T17" s="170"/>
      <c r="AG17" s="169"/>
    </row>
    <row r="18" spans="1:33" x14ac:dyDescent="0.25">
      <c r="A18" s="161"/>
      <c r="T18" s="106"/>
    </row>
    <row r="19" spans="1:33" x14ac:dyDescent="0.25">
      <c r="A19" s="161" t="s">
        <v>15</v>
      </c>
      <c r="T19" s="171"/>
    </row>
    <row r="20" spans="1:33" x14ac:dyDescent="0.25">
      <c r="A20" s="161" t="s">
        <v>16</v>
      </c>
      <c r="T20" s="171"/>
    </row>
    <row r="21" spans="1:33" x14ac:dyDescent="0.25">
      <c r="A21" s="161"/>
      <c r="T21" s="106"/>
    </row>
    <row r="22" spans="1:33" x14ac:dyDescent="0.25">
      <c r="A22" s="162" t="s">
        <v>17</v>
      </c>
      <c r="T22" s="170"/>
    </row>
    <row r="23" spans="1:33" x14ac:dyDescent="0.25">
      <c r="A23" s="161"/>
      <c r="T23" s="106"/>
    </row>
    <row r="24" spans="1:33" x14ac:dyDescent="0.25">
      <c r="A24" s="161" t="s">
        <v>18</v>
      </c>
      <c r="T24" s="171"/>
    </row>
    <row r="26" spans="1:33" x14ac:dyDescent="0.25">
      <c r="A26" s="163" t="s">
        <v>19</v>
      </c>
      <c r="E26" s="158" t="s">
        <v>585</v>
      </c>
      <c r="T26" s="172"/>
    </row>
    <row r="27" spans="1:33" x14ac:dyDescent="0.25">
      <c r="A27" s="163" t="s">
        <v>20</v>
      </c>
      <c r="E27" s="158" t="s">
        <v>21</v>
      </c>
      <c r="T27" s="172"/>
    </row>
    <row r="28" spans="1:33" x14ac:dyDescent="0.25">
      <c r="A28" s="163" t="s">
        <v>22</v>
      </c>
      <c r="E28" s="158" t="s">
        <v>584</v>
      </c>
      <c r="T28" s="172"/>
    </row>
    <row r="29" spans="1:33" x14ac:dyDescent="0.25">
      <c r="A29" s="163" t="s">
        <v>23</v>
      </c>
      <c r="E29" s="158" t="s">
        <v>24</v>
      </c>
      <c r="T29" s="172"/>
    </row>
    <row r="30" spans="1:33" x14ac:dyDescent="0.25">
      <c r="A30" s="163" t="s">
        <v>25</v>
      </c>
      <c r="E30" s="158" t="s">
        <v>26</v>
      </c>
      <c r="T30" s="172"/>
    </row>
    <row r="31" spans="1:33" x14ac:dyDescent="0.25">
      <c r="A31" s="161"/>
      <c r="T31" s="106"/>
    </row>
    <row r="32" spans="1:33" x14ac:dyDescent="0.25">
      <c r="A32" s="162" t="s">
        <v>27</v>
      </c>
      <c r="T32" s="170"/>
    </row>
    <row r="33" spans="1:20" x14ac:dyDescent="0.25">
      <c r="A33" s="161"/>
      <c r="T33" s="106"/>
    </row>
    <row r="34" spans="1:20" x14ac:dyDescent="0.25">
      <c r="A34" s="161" t="s">
        <v>28</v>
      </c>
      <c r="P34" s="173"/>
      <c r="T34" s="171"/>
    </row>
    <row r="35" spans="1:20" x14ac:dyDescent="0.25">
      <c r="A35" s="161" t="s">
        <v>29</v>
      </c>
      <c r="T35" s="171"/>
    </row>
    <row r="36" spans="1:20" x14ac:dyDescent="0.25">
      <c r="A36" s="161"/>
      <c r="T36" s="106"/>
    </row>
    <row r="37" spans="1:20" x14ac:dyDescent="0.25">
      <c r="A37" s="162" t="s">
        <v>30</v>
      </c>
      <c r="T37" s="170"/>
    </row>
    <row r="38" spans="1:20" x14ac:dyDescent="0.25">
      <c r="A38" s="161"/>
      <c r="T38" s="106"/>
    </row>
    <row r="39" spans="1:20" x14ac:dyDescent="0.25">
      <c r="A39" s="161" t="s">
        <v>31</v>
      </c>
      <c r="T39" s="171"/>
    </row>
    <row r="40" spans="1:20" x14ac:dyDescent="0.25">
      <c r="A40" s="161" t="s">
        <v>32</v>
      </c>
      <c r="T40" s="171"/>
    </row>
    <row r="41" spans="1:20" x14ac:dyDescent="0.25">
      <c r="A41" s="161" t="s">
        <v>33</v>
      </c>
      <c r="T41" s="174"/>
    </row>
    <row r="42" spans="1:20" x14ac:dyDescent="0.25">
      <c r="A42" s="161" t="s">
        <v>34</v>
      </c>
      <c r="T42" s="174"/>
    </row>
    <row r="43" spans="1:20" x14ac:dyDescent="0.25">
      <c r="A43" s="161" t="s">
        <v>35</v>
      </c>
      <c r="T43" s="171"/>
    </row>
    <row r="44" spans="1:20" x14ac:dyDescent="0.25">
      <c r="A44" s="161"/>
      <c r="T44" s="106"/>
    </row>
    <row r="45" spans="1:20" x14ac:dyDescent="0.25">
      <c r="A45" s="162" t="s">
        <v>36</v>
      </c>
      <c r="T45" s="170"/>
    </row>
    <row r="46" spans="1:20" x14ac:dyDescent="0.25">
      <c r="A46" s="161"/>
      <c r="T46" s="106"/>
    </row>
    <row r="47" spans="1:20" x14ac:dyDescent="0.25">
      <c r="A47" s="161" t="s">
        <v>37</v>
      </c>
      <c r="T47" s="171"/>
    </row>
    <row r="48" spans="1:20" x14ac:dyDescent="0.25">
      <c r="A48" s="161" t="s">
        <v>38</v>
      </c>
      <c r="T48" s="171"/>
    </row>
    <row r="49" spans="1:20" x14ac:dyDescent="0.25">
      <c r="A49" s="161"/>
      <c r="T49" s="106"/>
    </row>
    <row r="50" spans="1:20" x14ac:dyDescent="0.25">
      <c r="A50" s="162" t="s">
        <v>39</v>
      </c>
      <c r="T50" s="170"/>
    </row>
    <row r="51" spans="1:20" x14ac:dyDescent="0.25">
      <c r="A51" s="161"/>
      <c r="T51" s="106"/>
    </row>
    <row r="52" spans="1:20" x14ac:dyDescent="0.25">
      <c r="A52" s="161" t="s">
        <v>40</v>
      </c>
      <c r="T52" s="171"/>
    </row>
    <row r="53" spans="1:20" x14ac:dyDescent="0.25">
      <c r="A53" s="161" t="s">
        <v>41</v>
      </c>
      <c r="T53" s="171"/>
    </row>
    <row r="55" spans="1:20" x14ac:dyDescent="0.25">
      <c r="A55" s="160" t="s">
        <v>42</v>
      </c>
      <c r="T55" s="168"/>
    </row>
    <row r="57" spans="1:20" x14ac:dyDescent="0.25">
      <c r="A57" s="158" t="s">
        <v>43</v>
      </c>
    </row>
    <row r="58" spans="1:20" x14ac:dyDescent="0.25">
      <c r="A58" s="161"/>
      <c r="T58" s="106"/>
    </row>
    <row r="59" spans="1:20" x14ac:dyDescent="0.25">
      <c r="A59" s="161" t="s">
        <v>44</v>
      </c>
      <c r="T59" s="106"/>
    </row>
    <row r="60" spans="1:20" x14ac:dyDescent="0.25">
      <c r="A60" s="161" t="s">
        <v>45</v>
      </c>
      <c r="T60" s="106"/>
    </row>
    <row r="62" spans="1:20" x14ac:dyDescent="0.25">
      <c r="A62" s="160" t="s">
        <v>46</v>
      </c>
      <c r="T62" s="168"/>
    </row>
    <row r="63" spans="1:20" x14ac:dyDescent="0.25">
      <c r="A63" s="161"/>
      <c r="T63" s="106"/>
    </row>
    <row r="64" spans="1:20" x14ac:dyDescent="0.25">
      <c r="A64" s="161" t="s">
        <v>47</v>
      </c>
      <c r="T64" s="106"/>
    </row>
    <row r="66" spans="1:1" x14ac:dyDescent="0.25">
      <c r="A66" s="164" t="s">
        <v>48</v>
      </c>
    </row>
    <row r="68" spans="1:1" x14ac:dyDescent="0.25">
      <c r="A68" s="158" t="s">
        <v>49</v>
      </c>
    </row>
  </sheetData>
  <mergeCells count="4">
    <mergeCell ref="A1:K2"/>
    <mergeCell ref="A5:K6"/>
    <mergeCell ref="A3:K3"/>
    <mergeCell ref="A4:K4"/>
  </mergeCells>
  <hyperlinks>
    <hyperlink ref="A26" location="'1.1 transporte  '!F3" display="¿Puedo aplicarla?" xr:uid="{00841DC4-B7BC-4BD9-BB7D-4378A7E711A8}"/>
    <hyperlink ref="A27" location="'1.1 transporte  '!G3" display="Que % puedo aplicar" xr:uid="{C49A25FF-A080-42F6-A7A4-A1312DB4D676}"/>
    <hyperlink ref="A28" location="'1.1 transporte  '!I3" display="En que periodo de tiempo puedo implementarla?" xr:uid="{F6A64A55-1E09-4773-94D3-E3E82189302F}"/>
    <hyperlink ref="A29" location="'1.1 transporte  '!J3" display="Cuánto Carbono ( kg o % ) Creo que puedo evitar / ahorrar / quitar?" xr:uid="{FBDDCEBC-D80B-4DD3-BD21-66BB1B594898}"/>
    <hyperlink ref="A30" location="'1.1 transporte  '!L3" display="Cuánto me va a costar? " xr:uid="{11DACC42-9119-4A4A-8EA5-62D833E1A61F}"/>
    <hyperlink ref="A9" location="'2.1. consumo energia en hogar'!A1" display="'2.1. consumo energia en hogar'" xr:uid="{F9274BDA-DB9F-40E2-A584-AB632DC69F45}"/>
    <hyperlink ref="A8" location="'1.1 transporte  '!A1" display="'1.1 transporte " xr:uid="{60E0053F-E6F5-49C5-91F9-2ADAE23DFCBE}"/>
    <hyperlink ref="A10" location="'3.1. dieta y consumo alimentos'!A1" display="'3.1. dieta y consumo alimentos'!A1" xr:uid="{F3760CD2-F04F-4FFB-B589-53229CD0A222}"/>
    <hyperlink ref="A11" location="'4.1. Compras y consumos'!A1" display="'4.1. Compras y consumos'!A1" xr:uid="{32B5E0E3-1EC9-4646-ADA6-82C6D35604FE}"/>
    <hyperlink ref="A12" location="'5.1. Gestión de Residuos '!A1" display="'5.1. Gestión de Residuos '!A1" xr:uid="{0070071A-D04C-4D2F-BD51-A48BE7359510}"/>
    <hyperlink ref="A13" location="'6.1. Participación comunitaria'!A1" display="'6.1. Participación comunitaria'!A1" xr:uid="{703D9AB5-18BD-4889-8869-0EFA920F91CB}"/>
  </hyperlink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71D645-1D31-4351-BF9C-CD7F38B3CFCA}">
  <dimension ref="B11:G34"/>
  <sheetViews>
    <sheetView workbookViewId="0">
      <selection activeCell="J21" sqref="J21"/>
    </sheetView>
  </sheetViews>
  <sheetFormatPr baseColWidth="10" defaultColWidth="11" defaultRowHeight="19" x14ac:dyDescent="0.25"/>
  <cols>
    <col min="2" max="2" width="11" style="40"/>
    <col min="3" max="3" width="37.83203125" style="40" customWidth="1"/>
    <col min="4" max="4" width="103.6640625" style="40" customWidth="1"/>
    <col min="5" max="7" width="11" style="40"/>
  </cols>
  <sheetData>
    <row r="11" spans="2:7" hidden="1" x14ac:dyDescent="0.25"/>
    <row r="12" spans="2:7" hidden="1" x14ac:dyDescent="0.25"/>
    <row r="13" spans="2:7" x14ac:dyDescent="0.25">
      <c r="B13" s="87" t="s">
        <v>50</v>
      </c>
      <c r="C13" s="87" t="s">
        <v>51</v>
      </c>
      <c r="D13" s="87" t="s">
        <v>52</v>
      </c>
      <c r="E13" s="87" t="s">
        <v>53</v>
      </c>
      <c r="F13" s="87"/>
      <c r="G13" s="87"/>
    </row>
    <row r="14" spans="2:7" x14ac:dyDescent="0.25">
      <c r="B14" s="40">
        <v>1</v>
      </c>
      <c r="C14" s="40" t="s">
        <v>54</v>
      </c>
      <c r="D14" s="40" t="s">
        <v>55</v>
      </c>
      <c r="E14" s="177" t="s">
        <v>56</v>
      </c>
    </row>
    <row r="15" spans="2:7" x14ac:dyDescent="0.25">
      <c r="B15" s="40">
        <v>2</v>
      </c>
      <c r="C15" s="40" t="s">
        <v>59</v>
      </c>
      <c r="D15" s="40" t="s">
        <v>60</v>
      </c>
      <c r="E15" s="177" t="s">
        <v>61</v>
      </c>
    </row>
    <row r="16" spans="2:7" x14ac:dyDescent="0.25">
      <c r="B16" s="40">
        <v>3</v>
      </c>
      <c r="C16" s="40" t="s">
        <v>57</v>
      </c>
      <c r="D16" s="40" t="s">
        <v>57</v>
      </c>
      <c r="E16" s="178" t="s">
        <v>58</v>
      </c>
    </row>
    <row r="17" spans="2:5" x14ac:dyDescent="0.25">
      <c r="B17" s="40">
        <v>4</v>
      </c>
      <c r="C17" s="40" t="s">
        <v>586</v>
      </c>
      <c r="D17" s="40" t="s">
        <v>106</v>
      </c>
      <c r="E17" s="178" t="s">
        <v>587</v>
      </c>
    </row>
    <row r="18" spans="2:5" x14ac:dyDescent="0.25">
      <c r="B18" s="40">
        <v>5</v>
      </c>
      <c r="C18" s="40" t="s">
        <v>62</v>
      </c>
      <c r="D18" s="40" t="s">
        <v>63</v>
      </c>
      <c r="E18" s="178" t="s">
        <v>64</v>
      </c>
    </row>
    <row r="19" spans="2:5" x14ac:dyDescent="0.25">
      <c r="B19" s="40">
        <v>6</v>
      </c>
      <c r="C19" s="40" t="s">
        <v>65</v>
      </c>
      <c r="D19" s="40" t="s">
        <v>66</v>
      </c>
      <c r="E19" s="178" t="s">
        <v>67</v>
      </c>
    </row>
    <row r="20" spans="2:5" x14ac:dyDescent="0.25">
      <c r="B20" s="40">
        <v>7</v>
      </c>
      <c r="C20" s="40" t="s">
        <v>68</v>
      </c>
      <c r="D20" s="40" t="s">
        <v>69</v>
      </c>
      <c r="E20" s="178" t="s">
        <v>70</v>
      </c>
    </row>
    <row r="21" spans="2:5" x14ac:dyDescent="0.25">
      <c r="B21" s="40">
        <v>8</v>
      </c>
      <c r="C21" s="40" t="s">
        <v>71</v>
      </c>
      <c r="D21" s="40" t="s">
        <v>72</v>
      </c>
      <c r="E21" s="178" t="s">
        <v>73</v>
      </c>
    </row>
    <row r="22" spans="2:5" x14ac:dyDescent="0.25">
      <c r="B22" s="40">
        <v>9</v>
      </c>
      <c r="C22" s="40" t="s">
        <v>74</v>
      </c>
      <c r="D22" s="40" t="s">
        <v>75</v>
      </c>
      <c r="E22" s="178" t="s">
        <v>76</v>
      </c>
    </row>
    <row r="23" spans="2:5" x14ac:dyDescent="0.25">
      <c r="B23" s="40">
        <v>10</v>
      </c>
      <c r="C23" s="179" t="s">
        <v>77</v>
      </c>
      <c r="D23" s="40" t="s">
        <v>78</v>
      </c>
      <c r="E23" s="178" t="s">
        <v>79</v>
      </c>
    </row>
    <row r="24" spans="2:5" x14ac:dyDescent="0.25">
      <c r="B24" s="40">
        <v>11</v>
      </c>
      <c r="C24" s="179" t="s">
        <v>10</v>
      </c>
      <c r="D24" s="40" t="s">
        <v>80</v>
      </c>
      <c r="E24" s="178" t="s">
        <v>81</v>
      </c>
    </row>
    <row r="25" spans="2:5" x14ac:dyDescent="0.25">
      <c r="B25" s="40">
        <v>12</v>
      </c>
      <c r="C25" s="179" t="s">
        <v>82</v>
      </c>
      <c r="D25" s="40" t="s">
        <v>83</v>
      </c>
      <c r="E25" s="178" t="s">
        <v>84</v>
      </c>
    </row>
    <row r="26" spans="2:5" x14ac:dyDescent="0.25">
      <c r="B26" s="40">
        <v>13</v>
      </c>
      <c r="C26" s="179" t="s">
        <v>11</v>
      </c>
      <c r="D26" s="40" t="s">
        <v>85</v>
      </c>
      <c r="E26" s="178" t="s">
        <v>86</v>
      </c>
    </row>
    <row r="27" spans="2:5" x14ac:dyDescent="0.25">
      <c r="B27" s="40">
        <v>14</v>
      </c>
      <c r="C27" s="179" t="s">
        <v>87</v>
      </c>
      <c r="D27" s="40" t="s">
        <v>88</v>
      </c>
      <c r="E27" s="178" t="s">
        <v>89</v>
      </c>
    </row>
    <row r="28" spans="2:5" x14ac:dyDescent="0.25">
      <c r="B28" s="40">
        <v>15</v>
      </c>
      <c r="C28" s="179" t="s">
        <v>90</v>
      </c>
      <c r="D28" s="40" t="s">
        <v>91</v>
      </c>
      <c r="E28" s="178" t="s">
        <v>92</v>
      </c>
    </row>
    <row r="29" spans="2:5" x14ac:dyDescent="0.25">
      <c r="B29" s="40">
        <v>16</v>
      </c>
      <c r="C29" s="179" t="s">
        <v>93</v>
      </c>
      <c r="D29" s="40" t="s">
        <v>94</v>
      </c>
      <c r="E29" s="178" t="s">
        <v>95</v>
      </c>
    </row>
    <row r="30" spans="2:5" x14ac:dyDescent="0.25">
      <c r="B30" s="40">
        <v>17</v>
      </c>
      <c r="C30" s="40" t="s">
        <v>96</v>
      </c>
      <c r="D30" s="40" t="s">
        <v>97</v>
      </c>
      <c r="E30" s="178" t="s">
        <v>98</v>
      </c>
    </row>
    <row r="31" spans="2:5" x14ac:dyDescent="0.25">
      <c r="B31" s="40">
        <v>18</v>
      </c>
      <c r="C31" s="40" t="s">
        <v>99</v>
      </c>
      <c r="D31" s="40" t="s">
        <v>100</v>
      </c>
      <c r="E31" s="178" t="s">
        <v>101</v>
      </c>
    </row>
    <row r="32" spans="2:5" x14ac:dyDescent="0.25">
      <c r="B32" s="40">
        <v>20</v>
      </c>
      <c r="C32" s="40" t="s">
        <v>102</v>
      </c>
      <c r="D32" s="40" t="s">
        <v>588</v>
      </c>
      <c r="E32" s="178"/>
    </row>
    <row r="33" spans="2:7" x14ac:dyDescent="0.25">
      <c r="B33" s="40">
        <v>21</v>
      </c>
      <c r="C33" s="40" t="s">
        <v>103</v>
      </c>
      <c r="D33" s="40" t="s">
        <v>104</v>
      </c>
    </row>
    <row r="34" spans="2:7" x14ac:dyDescent="0.25">
      <c r="B34" s="87"/>
      <c r="C34" s="87"/>
      <c r="D34" s="87"/>
      <c r="E34" s="87"/>
      <c r="F34" s="87"/>
      <c r="G34" s="87"/>
    </row>
  </sheetData>
  <hyperlinks>
    <hyperlink ref="E14" location="Cover!A1" display="Cover!A1" xr:uid="{DCA479E3-925D-41C3-8914-8D25633C46DE}"/>
    <hyperlink ref="E16" location="'Índice '!A1" display="'Índice '!A1" xr:uid="{C434137D-7EE6-48B1-80D2-B4303280C13D}"/>
    <hyperlink ref="E15" location="Guia!A1" display="Guia!A1" xr:uid="{50A4F373-F8E6-4C80-8F70-40EF7431F523}"/>
    <hyperlink ref="E18" location="'1.1 transporte  '!A1" display="'1.1 transporte  '!A1" xr:uid="{F4D36DBA-B4FD-46E3-8E9A-48E54B7C2775}"/>
    <hyperlink ref="E19" location="'1.2. Calcular transporte'!A1" display="'1.2. Calcular transporte'!A1" xr:uid="{D2CF97B8-5017-4800-9273-E0499B53489D}"/>
    <hyperlink ref="E20" location="'2.1. consumo energia en hogar'!A1" display="'2.1. consumo energia en hogar'!A1" xr:uid="{A550C5C1-583B-4E46-9E30-D567B539BC83}"/>
    <hyperlink ref="E21" location="'2.2. Calcular Energia en hogar '!A1" display="'2.2. Calcular Energia en hogar '!A1" xr:uid="{C368D1C3-4946-49E6-AA00-2F02ABFE3E64}"/>
    <hyperlink ref="E22" location="'3.1. dieta y consumo alimentos'!A1" display="'3.1. dieta y consumo alimentos'!A1" xr:uid="{A09F87C0-828B-4726-BE06-B05264EB3747}"/>
    <hyperlink ref="E23" location="'3.2. calculo dieta y alimentos'!A1" display="'3.2. calculo dieta y alimentos'!A1" xr:uid="{29B947F6-C349-42FD-A215-DC3FB22222B9}"/>
    <hyperlink ref="E24" location="'4.1. Compras y consumos'!A1" display="'4.1. Compras y consumos'!A1" xr:uid="{DDCE4B16-CCBF-499E-B95B-05D1237AF273}"/>
    <hyperlink ref="E25" location="'4.2. Calcular compras y consumo'!A1" display="'4.2. Calcular compras y consumo'!A1" xr:uid="{4EE0EC18-6CBB-43FD-BF87-C9F9EB02B3D3}"/>
    <hyperlink ref="E26" location="'5.1. Gestión de Residuos '!A1" display="'5.1. Gestión de Residuos '!A1" xr:uid="{FE8ACF44-417F-4E32-9347-43070BFB1DF9}"/>
    <hyperlink ref="E27" location="'5.2. Calcular gestión residuos'!A1" display="'5.2. Calcular gestión residuos'!A1" xr:uid="{904EAE18-0483-4C6D-A5B7-A156A6F3F5FB}"/>
    <hyperlink ref="E28" location="'6.1. Participación y Concie (2)'!A1" display="'6.1. Participación y Concie (2)'!A1" xr:uid="{053A0B3A-F8B5-4B06-8E14-3B9072D0A7CF}"/>
    <hyperlink ref="E29" location="'6.2. Calcular Participación com'!A1" display="'6.2. Calcular Participación com'!A1" xr:uid="{85ED6B88-D0A3-499D-BF03-9117898E4B6F}"/>
    <hyperlink ref="E30" location="'Mi Plan'!A1" display="'Mi Plan'!A1" xr:uid="{6477A458-A913-4A9E-B954-93CCFBA70FE6}"/>
    <hyperlink ref="E31" location="'Mis ideas'!A1" display="'Mis ideas'!A1" xr:uid="{C937F91E-D950-4EF7-B76D-6D2179179CE9}"/>
    <hyperlink ref="E17" location="'Resumen de tu plan'!A1" display="'Resumen de tu plan'!A1" xr:uid="{56129070-0CE8-47D8-949E-89F28B28B6BA}"/>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4DAB-F515-CE40-87BE-1618BAAA295E}">
  <sheetPr>
    <tabColor theme="5" tint="-0.249977111117893"/>
  </sheetPr>
  <dimension ref="B5:P15"/>
  <sheetViews>
    <sheetView zoomScale="129" zoomScaleNormal="129" workbookViewId="0">
      <selection activeCell="G28" sqref="G28"/>
    </sheetView>
  </sheetViews>
  <sheetFormatPr baseColWidth="10" defaultColWidth="11" defaultRowHeight="16" x14ac:dyDescent="0.2"/>
  <cols>
    <col min="1" max="1" width="3.6640625" customWidth="1"/>
    <col min="2" max="2" width="10.83203125" style="47"/>
    <col min="3" max="3" width="56.33203125" customWidth="1"/>
    <col min="4" max="4" width="15.33203125" customWidth="1"/>
    <col min="5" max="5" width="13.6640625" customWidth="1"/>
    <col min="6" max="6" width="14.5" customWidth="1"/>
    <col min="7" max="7" width="15.5" customWidth="1"/>
    <col min="8" max="8" width="16.5" customWidth="1"/>
    <col min="9" max="9" width="16.1640625" customWidth="1"/>
    <col min="10" max="10" width="13.83203125" customWidth="1"/>
  </cols>
  <sheetData>
    <row r="5" spans="2:16" ht="21" x14ac:dyDescent="0.25">
      <c r="B5" s="46" t="s">
        <v>105</v>
      </c>
      <c r="C5" s="195" t="s">
        <v>106</v>
      </c>
      <c r="D5" s="195"/>
      <c r="E5" s="195"/>
      <c r="F5" s="195"/>
      <c r="G5" s="195"/>
      <c r="H5" s="195"/>
      <c r="I5" s="195"/>
      <c r="J5" s="195"/>
    </row>
    <row r="6" spans="2:16" ht="21" x14ac:dyDescent="0.25">
      <c r="B6" s="55"/>
      <c r="C6" s="56"/>
      <c r="D6" s="194" t="s">
        <v>107</v>
      </c>
      <c r="E6" s="194"/>
      <c r="F6" s="194"/>
      <c r="G6" s="194"/>
      <c r="H6" s="194"/>
      <c r="I6" s="194"/>
      <c r="J6" s="194"/>
    </row>
    <row r="7" spans="2:16" ht="21" x14ac:dyDescent="0.25">
      <c r="B7" s="2"/>
      <c r="C7" s="39"/>
      <c r="D7" s="54" t="s">
        <v>108</v>
      </c>
      <c r="E7" s="54" t="s">
        <v>109</v>
      </c>
      <c r="F7" s="54" t="s">
        <v>110</v>
      </c>
      <c r="G7" s="54" t="s">
        <v>111</v>
      </c>
      <c r="H7" s="54" t="s">
        <v>112</v>
      </c>
      <c r="I7" s="54" t="s">
        <v>113</v>
      </c>
      <c r="J7" s="54" t="s">
        <v>114</v>
      </c>
    </row>
    <row r="8" spans="2:16" ht="21" x14ac:dyDescent="0.25">
      <c r="B8" s="2">
        <v>1</v>
      </c>
      <c r="C8" s="39" t="s">
        <v>115</v>
      </c>
      <c r="D8" s="58">
        <f>COUNTIF('1.1 transporte  '!E1:E41,"Si")</f>
        <v>0</v>
      </c>
      <c r="E8" s="58">
        <f>COUNTIF('1.1 transporte  '!E1:E41,"No")</f>
        <v>0</v>
      </c>
      <c r="F8" s="58">
        <f>COUNTIF('1.1 transporte  '!H1:H41,"Corto plazo ( 1 Mes o más )")</f>
        <v>0</v>
      </c>
      <c r="G8" s="59">
        <f>COUNTIF('1.1 transporte  '!H1:H41,"Medio plazo ( 3 Meses o más )")</f>
        <v>0</v>
      </c>
      <c r="H8" s="59">
        <f>COUNTIF('1.1 transporte  '!H1:H41,"Largo plazo ( 12 Meses o más )")</f>
        <v>0</v>
      </c>
      <c r="I8" s="58">
        <f>SUM('1.1 transporte  '!K3:K42)</f>
        <v>0</v>
      </c>
      <c r="J8" s="58">
        <f>SUM('1.1 transporte  '!I3:I42)</f>
        <v>0</v>
      </c>
    </row>
    <row r="9" spans="2:16" ht="21" x14ac:dyDescent="0.25">
      <c r="B9" s="2">
        <v>2</v>
      </c>
      <c r="C9" s="39" t="s">
        <v>116</v>
      </c>
      <c r="D9" s="58">
        <f>COUNTIF('2.1. consumo energia en hogar'!E2:E56,"Si")</f>
        <v>0</v>
      </c>
      <c r="E9" s="58">
        <f>COUNTIF('2.1. consumo energia en hogar'!F2:F56,"No")</f>
        <v>0</v>
      </c>
      <c r="F9" s="58">
        <f>COUNTIF('2.1. consumo energia en hogar'!H1:H44,"Corto plazo ( 1 Mes o más )")</f>
        <v>0</v>
      </c>
      <c r="G9" s="58">
        <f>COUNTIF('2.1. consumo energia en hogar'!H1:H44,"Medio plazo ( 3 Meses o más )")</f>
        <v>0</v>
      </c>
      <c r="H9" s="58">
        <f>COUNTIF('2.1. consumo energia en hogar'!H1:H44,"Largo plazo ( 12 Meses o más )")</f>
        <v>0</v>
      </c>
      <c r="I9" s="58">
        <f>SUM('2.1. consumo energia en hogar'!K3:K43)</f>
        <v>0</v>
      </c>
      <c r="J9" s="58">
        <f>SUM('2.1. consumo energia en hogar'!I3:I43)</f>
        <v>0</v>
      </c>
      <c r="L9" s="39"/>
      <c r="M9" s="39"/>
      <c r="N9" s="39"/>
      <c r="O9" s="39"/>
      <c r="P9" s="39"/>
    </row>
    <row r="10" spans="2:16" ht="21" x14ac:dyDescent="0.25">
      <c r="B10" s="2">
        <v>3</v>
      </c>
      <c r="C10" s="39" t="s">
        <v>117</v>
      </c>
      <c r="D10" s="58">
        <f>COUNTIF('3.1. dieta y consumo alimentos'!E3:E56,"Si")</f>
        <v>0</v>
      </c>
      <c r="E10" s="58">
        <f>COUNTIF('3.1. dieta y consumo alimentos'!F3:F56,"No")</f>
        <v>0</v>
      </c>
      <c r="F10" s="58">
        <f>COUNTIF('3.1. dieta y consumo alimentos'!H2:H35,"Corto plazo ( 1 Mes o más )")</f>
        <v>0</v>
      </c>
      <c r="G10" s="58">
        <f>COUNTIF('3.1. dieta y consumo alimentos'!H2:H35,"Medio plazo ( 3 Meses o más )")</f>
        <v>0</v>
      </c>
      <c r="H10" s="58">
        <f>COUNTIF('3.1. dieta y consumo alimentos'!H2:H35,"Largo plazo ( 12 Meses o más )")</f>
        <v>0</v>
      </c>
      <c r="I10" s="58">
        <f>SUM('3.1. dieta y consumo alimentos'!K3:K32)</f>
        <v>0</v>
      </c>
      <c r="J10" s="58">
        <f>SUM('3.1. dieta y consumo alimentos'!J3:J32)</f>
        <v>0</v>
      </c>
      <c r="L10" s="39"/>
      <c r="M10" s="39"/>
      <c r="N10" s="39"/>
      <c r="O10" s="39"/>
      <c r="P10" s="39"/>
    </row>
    <row r="11" spans="2:16" ht="21" x14ac:dyDescent="0.25">
      <c r="B11" s="2">
        <v>4</v>
      </c>
      <c r="C11" s="39" t="s">
        <v>118</v>
      </c>
      <c r="D11" s="58">
        <f>COUNTIF('4.1. Compras y consumos'!E4:E58,"Si")</f>
        <v>0</v>
      </c>
      <c r="E11" s="58">
        <f>COUNTIF('4.1. Compras y consumos'!F4:F58,"No")</f>
        <v>0</v>
      </c>
      <c r="F11" s="58">
        <f>COUNTIF('4.1. Compras y consumos'!H3:H66,"Corto plazo ( 1 Mes o más )")</f>
        <v>0</v>
      </c>
      <c r="G11" s="58">
        <f>COUNTIF('4.1. Compras y consumos'!H3:H66,"Medio plazo ( 3 Meses o más )")</f>
        <v>0</v>
      </c>
      <c r="H11" s="58">
        <f>COUNTIF('4.1. Compras y consumos'!H3:H66,"Largo plazo ( 12 Meses o más )")</f>
        <v>0</v>
      </c>
      <c r="I11" s="58">
        <f>SUM('4.1. Compras y consumos'!K3:K51)</f>
        <v>0</v>
      </c>
      <c r="J11" s="58">
        <f>SUM('4.1. Compras y consumos'!I3:I51)</f>
        <v>0</v>
      </c>
      <c r="L11" s="39"/>
      <c r="M11" s="39"/>
      <c r="N11" s="39"/>
      <c r="O11" s="39"/>
      <c r="P11" s="39"/>
    </row>
    <row r="12" spans="2:16" ht="21" x14ac:dyDescent="0.25">
      <c r="B12" s="2">
        <v>5</v>
      </c>
      <c r="C12" s="39" t="s">
        <v>119</v>
      </c>
      <c r="D12" s="58">
        <f>COUNTIF('5.1. Gestión de Residuos '!E2:E56,"Si")</f>
        <v>0</v>
      </c>
      <c r="E12" s="58">
        <f>COUNTIF('5.1. Gestión de Residuos '!F2:F56,"No")</f>
        <v>0</v>
      </c>
      <c r="F12" s="58">
        <f>COUNTIF('5.1. Gestión de Residuos '!H51,"Corto plazo ( 1 Mes o más )")</f>
        <v>0</v>
      </c>
      <c r="G12" s="58">
        <f>COUNTIF('5.1. Gestión de Residuos '!H51,"Medio plazo ( 3 Meses o más )")</f>
        <v>0</v>
      </c>
      <c r="H12" s="58">
        <f>COUNTIF('5.1. Gestión de Residuos '!H51,"Largo plazo ( 12 Meses o más )")</f>
        <v>0</v>
      </c>
      <c r="I12" s="58">
        <f>SUM('5.1. Gestión de Residuos '!K3:K41)</f>
        <v>0</v>
      </c>
      <c r="J12" s="58">
        <f>SUM('5.1. Gestión de Residuos '!I3:I41)</f>
        <v>0</v>
      </c>
      <c r="K12" s="39"/>
      <c r="L12" s="39"/>
      <c r="M12" s="39"/>
      <c r="N12" s="39"/>
      <c r="O12" s="39"/>
      <c r="P12" s="39"/>
    </row>
    <row r="13" spans="2:16" ht="21" x14ac:dyDescent="0.25">
      <c r="B13" s="2">
        <v>6</v>
      </c>
      <c r="C13" s="39" t="s">
        <v>120</v>
      </c>
      <c r="D13" s="58">
        <f>COUNTIF('6.1. Participación comunitaria'!F2:F35,"Si")</f>
        <v>0</v>
      </c>
      <c r="E13" s="58">
        <f>COUNTIF('6.1. Participación comunitaria'!G2:G35,"No")</f>
        <v>0</v>
      </c>
      <c r="F13" s="58">
        <f>COUNTIF('6.1. Participación comunitaria'!L41,"Corto plazo ( 1 Mes o más )")</f>
        <v>0</v>
      </c>
      <c r="G13" s="58">
        <f>COUNTIF('6.1. Participación comunitaria'!L41,"Medio plazo ( 3 Meses o más )")</f>
        <v>0</v>
      </c>
      <c r="H13" s="58">
        <f>COUNTIF('6.1. Participación comunitaria'!L41,"largo plazo ( 12 Meses o más )")</f>
        <v>0</v>
      </c>
      <c r="I13" s="58">
        <f>SUM('6.1. Participación comunitaria'!L3:L34)</f>
        <v>0</v>
      </c>
      <c r="J13" s="58">
        <f>SUM('6.1. Participación comunitaria'!I3:I34)</f>
        <v>0</v>
      </c>
      <c r="K13" s="39"/>
      <c r="L13" s="39"/>
      <c r="M13" s="39"/>
      <c r="N13" s="39"/>
      <c r="O13" s="39"/>
      <c r="P13" s="39"/>
    </row>
    <row r="14" spans="2:16" x14ac:dyDescent="0.2">
      <c r="D14" s="1"/>
      <c r="E14" s="1"/>
      <c r="F14" s="1"/>
      <c r="G14" s="1"/>
      <c r="H14" s="1"/>
      <c r="I14" s="1"/>
      <c r="J14" s="1"/>
    </row>
    <row r="15" spans="2:16" ht="21" x14ac:dyDescent="0.25">
      <c r="B15" s="57"/>
      <c r="C15" s="57" t="s">
        <v>121</v>
      </c>
      <c r="D15" s="58">
        <f t="shared" ref="D15:I15" si="0">SUM(D8:D14)</f>
        <v>0</v>
      </c>
      <c r="E15" s="58">
        <f t="shared" si="0"/>
        <v>0</v>
      </c>
      <c r="F15" s="58">
        <f t="shared" si="0"/>
        <v>0</v>
      </c>
      <c r="G15" s="58">
        <f t="shared" si="0"/>
        <v>0</v>
      </c>
      <c r="H15" s="58">
        <f t="shared" si="0"/>
        <v>0</v>
      </c>
      <c r="I15" s="58">
        <f t="shared" si="0"/>
        <v>0</v>
      </c>
      <c r="J15" s="58">
        <f>SUM(J8:J14)</f>
        <v>0</v>
      </c>
    </row>
  </sheetData>
  <mergeCells count="2">
    <mergeCell ref="D6:J6"/>
    <mergeCell ref="C5:J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8F0-98A7-4844-976B-F0FE541E5B78}">
  <sheetPr>
    <tabColor theme="9" tint="0.39997558519241921"/>
  </sheetPr>
  <dimension ref="A1:AE97"/>
  <sheetViews>
    <sheetView zoomScaleNormal="100" zoomScaleSheetLayoutView="70" workbookViewId="0">
      <pane xSplit="1" ySplit="1" topLeftCell="D8" activePane="bottomRight" state="frozen"/>
      <selection pane="topRight" activeCell="B1" sqref="B1"/>
      <selection pane="bottomLeft" activeCell="A2" sqref="A2"/>
      <selection pane="bottomRight" activeCell="O9" sqref="O9"/>
    </sheetView>
  </sheetViews>
  <sheetFormatPr baseColWidth="10" defaultColWidth="11" defaultRowHeight="16" x14ac:dyDescent="0.2"/>
  <cols>
    <col min="1" max="1" width="70.6640625" customWidth="1"/>
    <col min="2" max="2" width="10.5" customWidth="1"/>
    <col min="3" max="3" width="79.6640625" customWidth="1"/>
    <col min="9" max="9" width="17.6640625" customWidth="1"/>
    <col min="10" max="10" width="14.83203125" customWidth="1"/>
    <col min="11" max="11" width="15.83203125" customWidth="1"/>
    <col min="13" max="13" width="21" customWidth="1"/>
    <col min="14" max="14" width="0.6640625" customWidth="1"/>
  </cols>
  <sheetData>
    <row r="1" spans="1:31" ht="140" x14ac:dyDescent="0.25">
      <c r="A1" s="108" t="s">
        <v>122</v>
      </c>
      <c r="B1" s="84" t="s">
        <v>593</v>
      </c>
      <c r="C1" s="84" t="s">
        <v>52</v>
      </c>
      <c r="D1" s="67" t="s">
        <v>123</v>
      </c>
      <c r="E1" s="68" t="s">
        <v>124</v>
      </c>
      <c r="F1" s="68" t="s">
        <v>20</v>
      </c>
      <c r="G1" s="67" t="s">
        <v>125</v>
      </c>
      <c r="H1" s="68" t="s">
        <v>126</v>
      </c>
      <c r="I1" s="68" t="s">
        <v>127</v>
      </c>
      <c r="J1" s="67" t="s">
        <v>128</v>
      </c>
      <c r="K1" s="68" t="s">
        <v>129</v>
      </c>
      <c r="L1" s="67" t="s">
        <v>130</v>
      </c>
      <c r="M1" s="196" t="s">
        <v>131</v>
      </c>
      <c r="N1" s="196"/>
      <c r="P1" s="113"/>
      <c r="Q1" s="113"/>
      <c r="R1" s="113"/>
      <c r="S1" s="113"/>
      <c r="T1" s="113"/>
      <c r="U1" s="113"/>
    </row>
    <row r="2" spans="1:31" ht="19" x14ac:dyDescent="0.25">
      <c r="A2" s="65" t="s">
        <v>132</v>
      </c>
      <c r="B2" s="64"/>
      <c r="C2" s="64"/>
      <c r="D2" s="69"/>
      <c r="E2" s="69"/>
      <c r="F2" s="69"/>
      <c r="G2" s="69"/>
      <c r="H2" s="69"/>
      <c r="I2" s="69"/>
      <c r="J2" s="69"/>
      <c r="K2" s="69"/>
      <c r="L2" s="69"/>
      <c r="M2" s="69"/>
      <c r="P2" s="114"/>
      <c r="Q2" s="109"/>
      <c r="R2" s="115"/>
      <c r="S2" s="115"/>
      <c r="T2" s="115"/>
      <c r="U2" s="115"/>
    </row>
    <row r="3" spans="1:31" x14ac:dyDescent="0.2">
      <c r="A3" s="62" t="s">
        <v>133</v>
      </c>
      <c r="B3">
        <v>1</v>
      </c>
      <c r="C3" s="62" t="s">
        <v>134</v>
      </c>
      <c r="D3" s="62" t="s">
        <v>135</v>
      </c>
      <c r="E3" s="86"/>
      <c r="F3" s="86"/>
      <c r="G3" s="62" t="s">
        <v>137</v>
      </c>
      <c r="H3" s="86"/>
      <c r="I3" s="180">
        <v>0</v>
      </c>
      <c r="J3" s="62" t="s">
        <v>139</v>
      </c>
      <c r="K3" s="86"/>
      <c r="L3" s="62" t="s">
        <v>140</v>
      </c>
      <c r="M3" s="62" t="s">
        <v>141</v>
      </c>
      <c r="N3" s="62"/>
      <c r="O3" s="62"/>
      <c r="P3" s="111"/>
      <c r="Q3" s="109"/>
      <c r="R3" s="109"/>
      <c r="S3" s="109"/>
      <c r="T3" s="109"/>
      <c r="U3" s="109"/>
    </row>
    <row r="4" spans="1:31" x14ac:dyDescent="0.2">
      <c r="A4" s="62" t="s">
        <v>142</v>
      </c>
      <c r="B4">
        <v>2</v>
      </c>
      <c r="C4" s="62" t="s">
        <v>143</v>
      </c>
      <c r="D4" s="62" t="s">
        <v>135</v>
      </c>
      <c r="E4" s="86"/>
      <c r="F4" s="86"/>
      <c r="G4" s="62" t="s">
        <v>137</v>
      </c>
      <c r="H4" s="86"/>
      <c r="I4" s="180">
        <v>0</v>
      </c>
      <c r="J4" s="62" t="s">
        <v>144</v>
      </c>
      <c r="K4" s="86"/>
      <c r="L4" s="62" t="s">
        <v>140</v>
      </c>
      <c r="M4" s="62" t="s">
        <v>141</v>
      </c>
      <c r="N4" s="62"/>
      <c r="O4" s="62"/>
      <c r="P4" s="111"/>
      <c r="Q4" s="109"/>
      <c r="R4" s="109"/>
      <c r="S4" s="109"/>
      <c r="T4" s="109"/>
      <c r="U4" s="109"/>
    </row>
    <row r="5" spans="1:31" x14ac:dyDescent="0.2">
      <c r="A5" s="62" t="s">
        <v>145</v>
      </c>
      <c r="B5">
        <v>3</v>
      </c>
      <c r="C5" s="62" t="s">
        <v>146</v>
      </c>
      <c r="D5" s="62" t="s">
        <v>135</v>
      </c>
      <c r="E5" s="86"/>
      <c r="F5" s="86"/>
      <c r="G5" s="62" t="s">
        <v>137</v>
      </c>
      <c r="H5" s="86"/>
      <c r="I5" s="180">
        <v>0</v>
      </c>
      <c r="J5" s="62" t="s">
        <v>147</v>
      </c>
      <c r="K5" s="86"/>
      <c r="L5" s="62" t="s">
        <v>140</v>
      </c>
      <c r="M5" s="62" t="s">
        <v>148</v>
      </c>
      <c r="N5" s="62"/>
      <c r="O5" s="62"/>
      <c r="P5" s="111"/>
      <c r="Q5" s="109"/>
      <c r="R5" s="109"/>
      <c r="S5" s="109"/>
      <c r="T5" s="109"/>
      <c r="U5" s="109"/>
    </row>
    <row r="6" spans="1:31" x14ac:dyDescent="0.2">
      <c r="A6" s="62" t="s">
        <v>149</v>
      </c>
      <c r="B6">
        <v>4</v>
      </c>
      <c r="C6" s="62" t="s">
        <v>150</v>
      </c>
      <c r="D6" s="62" t="s">
        <v>135</v>
      </c>
      <c r="E6" s="86"/>
      <c r="F6" s="86"/>
      <c r="G6" s="62" t="s">
        <v>137</v>
      </c>
      <c r="H6" s="86"/>
      <c r="I6" s="180">
        <v>0</v>
      </c>
      <c r="J6" s="62" t="s">
        <v>144</v>
      </c>
      <c r="K6" s="86"/>
      <c r="L6" s="62" t="s">
        <v>140</v>
      </c>
      <c r="M6" s="62" t="s">
        <v>141</v>
      </c>
      <c r="N6" s="62"/>
      <c r="O6" s="62"/>
      <c r="P6" s="111"/>
      <c r="Q6" s="109"/>
      <c r="R6" s="109"/>
      <c r="S6" s="109"/>
      <c r="T6" s="109"/>
      <c r="U6" s="109"/>
    </row>
    <row r="7" spans="1:31" x14ac:dyDescent="0.2">
      <c r="A7" s="62" t="s">
        <v>151</v>
      </c>
      <c r="B7">
        <v>5</v>
      </c>
      <c r="C7" s="62" t="s">
        <v>152</v>
      </c>
      <c r="D7" s="62" t="s">
        <v>135</v>
      </c>
      <c r="E7" s="86"/>
      <c r="F7" s="86"/>
      <c r="G7" s="62" t="s">
        <v>135</v>
      </c>
      <c r="H7" s="86"/>
      <c r="I7" s="180">
        <v>0</v>
      </c>
      <c r="J7" s="62" t="s">
        <v>147</v>
      </c>
      <c r="K7" s="86"/>
      <c r="L7" s="62" t="s">
        <v>140</v>
      </c>
      <c r="M7" s="62" t="s">
        <v>141</v>
      </c>
      <c r="N7" s="62"/>
      <c r="O7" s="62"/>
      <c r="P7" s="111"/>
      <c r="Q7" s="109"/>
      <c r="R7" s="109"/>
      <c r="S7" s="109"/>
      <c r="T7" s="109"/>
      <c r="U7" s="109"/>
    </row>
    <row r="8" spans="1:31" x14ac:dyDescent="0.2">
      <c r="A8" s="62" t="s">
        <v>597</v>
      </c>
      <c r="B8">
        <v>6</v>
      </c>
      <c r="C8" s="62" t="s">
        <v>604</v>
      </c>
      <c r="D8" s="62" t="s">
        <v>135</v>
      </c>
      <c r="E8" s="86"/>
      <c r="F8" s="86"/>
      <c r="G8" s="62" t="s">
        <v>137</v>
      </c>
      <c r="H8" s="86"/>
      <c r="I8" s="180">
        <v>0</v>
      </c>
      <c r="J8" s="62" t="s">
        <v>147</v>
      </c>
      <c r="K8" s="86"/>
      <c r="L8" s="62" t="s">
        <v>140</v>
      </c>
      <c r="M8" s="62" t="s">
        <v>141</v>
      </c>
      <c r="N8" s="62"/>
      <c r="O8" s="62"/>
      <c r="P8" s="111"/>
      <c r="Q8" s="109"/>
      <c r="R8" s="109"/>
      <c r="S8" s="109"/>
      <c r="T8" s="109"/>
      <c r="U8" s="109"/>
    </row>
    <row r="9" spans="1:31" ht="17" x14ac:dyDescent="0.2">
      <c r="A9" s="62" t="s">
        <v>598</v>
      </c>
      <c r="B9">
        <v>7</v>
      </c>
      <c r="C9" s="109" t="s">
        <v>607</v>
      </c>
      <c r="D9" s="62" t="s">
        <v>135</v>
      </c>
      <c r="E9" s="86"/>
      <c r="F9" s="86"/>
      <c r="G9" s="62" t="s">
        <v>137</v>
      </c>
      <c r="H9" s="86"/>
      <c r="I9" s="180">
        <v>0</v>
      </c>
      <c r="J9" s="62" t="s">
        <v>147</v>
      </c>
      <c r="K9" s="86"/>
      <c r="L9" s="62" t="s">
        <v>140</v>
      </c>
      <c r="M9" s="62" t="s">
        <v>141</v>
      </c>
      <c r="N9" s="62"/>
      <c r="O9" s="62"/>
      <c r="P9" s="111"/>
      <c r="Q9" s="109"/>
      <c r="R9" s="109"/>
      <c r="S9" s="109"/>
      <c r="T9" s="109"/>
      <c r="U9" s="109"/>
    </row>
    <row r="10" spans="1:31" x14ac:dyDescent="0.2">
      <c r="A10" s="62" t="s">
        <v>153</v>
      </c>
      <c r="B10">
        <v>8</v>
      </c>
      <c r="C10" s="62" t="s">
        <v>154</v>
      </c>
      <c r="D10" s="62" t="s">
        <v>135</v>
      </c>
      <c r="E10" s="86"/>
      <c r="F10" s="86"/>
      <c r="G10" s="62" t="s">
        <v>137</v>
      </c>
      <c r="H10" s="86"/>
      <c r="I10" s="180">
        <v>0</v>
      </c>
      <c r="J10" s="62" t="s">
        <v>139</v>
      </c>
      <c r="K10" s="86"/>
      <c r="L10" s="62" t="s">
        <v>140</v>
      </c>
      <c r="M10" s="62" t="s">
        <v>141</v>
      </c>
      <c r="N10" s="62"/>
      <c r="O10" s="62"/>
      <c r="P10" s="111"/>
      <c r="Q10" s="109"/>
      <c r="R10" s="109"/>
      <c r="S10" s="109"/>
      <c r="T10" s="109"/>
      <c r="U10" s="109"/>
      <c r="V10" s="110"/>
      <c r="W10" s="109"/>
      <c r="X10" s="109"/>
      <c r="Y10" s="109"/>
      <c r="Z10" s="109"/>
      <c r="AA10" s="109"/>
      <c r="AB10" s="109"/>
      <c r="AC10" s="109"/>
    </row>
    <row r="11" spans="1:31" ht="19" x14ac:dyDescent="0.25">
      <c r="A11" s="62" t="s">
        <v>155</v>
      </c>
      <c r="B11">
        <v>9</v>
      </c>
      <c r="C11" s="62" t="s">
        <v>156</v>
      </c>
      <c r="D11" s="62" t="s">
        <v>135</v>
      </c>
      <c r="E11" s="86"/>
      <c r="F11" s="86"/>
      <c r="G11" s="62" t="s">
        <v>137</v>
      </c>
      <c r="H11" s="86"/>
      <c r="I11" s="180">
        <v>0</v>
      </c>
      <c r="J11" s="62" t="s">
        <v>139</v>
      </c>
      <c r="K11" s="86"/>
      <c r="L11" s="62" t="s">
        <v>140</v>
      </c>
      <c r="M11" s="62" t="s">
        <v>141</v>
      </c>
      <c r="N11" s="62"/>
      <c r="O11" s="62"/>
      <c r="P11" s="62"/>
      <c r="Q11" s="40"/>
      <c r="T11" s="111"/>
      <c r="U11" s="109"/>
      <c r="V11" s="109"/>
      <c r="W11" s="109"/>
      <c r="X11" s="110"/>
      <c r="Y11" s="109"/>
      <c r="Z11" s="109"/>
      <c r="AA11" s="109"/>
      <c r="AB11" s="109"/>
      <c r="AC11" s="109"/>
      <c r="AD11" s="109"/>
      <c r="AE11" s="109"/>
    </row>
    <row r="12" spans="1:31" ht="19" x14ac:dyDescent="0.25">
      <c r="A12" s="62" t="s">
        <v>157</v>
      </c>
      <c r="B12">
        <v>10</v>
      </c>
      <c r="C12" s="62" t="s">
        <v>158</v>
      </c>
      <c r="D12" s="62" t="s">
        <v>159</v>
      </c>
      <c r="E12" s="86"/>
      <c r="F12" s="86"/>
      <c r="G12" s="62" t="s">
        <v>135</v>
      </c>
      <c r="H12" s="86"/>
      <c r="I12" s="180">
        <v>0</v>
      </c>
      <c r="J12" s="62" t="s">
        <v>147</v>
      </c>
      <c r="K12" s="86"/>
      <c r="L12" s="62" t="s">
        <v>140</v>
      </c>
      <c r="M12" s="62" t="s">
        <v>160</v>
      </c>
      <c r="N12" s="62"/>
      <c r="O12" s="62"/>
      <c r="P12" s="62"/>
      <c r="Q12" s="40"/>
    </row>
    <row r="13" spans="1:31" ht="19" x14ac:dyDescent="0.25">
      <c r="A13" s="62" t="s">
        <v>589</v>
      </c>
      <c r="B13">
        <v>11</v>
      </c>
      <c r="C13" t="s">
        <v>590</v>
      </c>
      <c r="D13" s="62" t="s">
        <v>135</v>
      </c>
      <c r="E13" s="86"/>
      <c r="F13" s="86"/>
      <c r="G13" s="62" t="s">
        <v>137</v>
      </c>
      <c r="H13" s="86"/>
      <c r="I13" s="180">
        <v>0</v>
      </c>
      <c r="J13" s="62" t="s">
        <v>139</v>
      </c>
      <c r="K13" s="86"/>
      <c r="L13" s="62" t="s">
        <v>140</v>
      </c>
      <c r="M13" s="62" t="s">
        <v>141</v>
      </c>
      <c r="N13" s="62"/>
      <c r="O13" s="62"/>
      <c r="P13" s="62"/>
      <c r="Q13" s="40"/>
    </row>
    <row r="14" spans="1:31" ht="19" x14ac:dyDescent="0.25">
      <c r="A14" s="62" t="s">
        <v>591</v>
      </c>
      <c r="B14">
        <v>12</v>
      </c>
      <c r="C14" t="s">
        <v>592</v>
      </c>
      <c r="D14" s="62" t="s">
        <v>135</v>
      </c>
      <c r="E14" s="86"/>
      <c r="F14" s="86"/>
      <c r="G14" s="62" t="s">
        <v>135</v>
      </c>
      <c r="H14" s="86"/>
      <c r="I14" s="180">
        <v>0</v>
      </c>
      <c r="J14" s="62" t="s">
        <v>139</v>
      </c>
      <c r="K14" s="86"/>
      <c r="L14" s="62" t="s">
        <v>140</v>
      </c>
      <c r="M14" s="62" t="s">
        <v>141</v>
      </c>
      <c r="N14" s="62"/>
      <c r="O14" s="62"/>
      <c r="P14" s="62"/>
      <c r="Q14" s="40"/>
    </row>
    <row r="15" spans="1:31" ht="19" x14ac:dyDescent="0.25">
      <c r="A15" s="65" t="s">
        <v>161</v>
      </c>
      <c r="B15" s="64"/>
      <c r="C15" s="64"/>
      <c r="D15" s="69"/>
      <c r="E15" s="69"/>
      <c r="F15" s="69"/>
      <c r="G15" s="69"/>
      <c r="H15" s="69"/>
      <c r="I15" s="69"/>
      <c r="J15" s="69"/>
      <c r="K15" s="69"/>
      <c r="L15" s="69"/>
      <c r="M15" s="69"/>
      <c r="N15" s="64"/>
    </row>
    <row r="16" spans="1:31" ht="19" x14ac:dyDescent="0.25">
      <c r="A16" s="62" t="s">
        <v>162</v>
      </c>
      <c r="B16">
        <v>13</v>
      </c>
      <c r="C16" t="s">
        <v>163</v>
      </c>
      <c r="D16" t="s">
        <v>159</v>
      </c>
      <c r="E16" s="86"/>
      <c r="F16" s="86"/>
      <c r="G16" t="s">
        <v>135</v>
      </c>
      <c r="H16" s="86"/>
      <c r="I16" s="180">
        <v>0</v>
      </c>
      <c r="J16" t="s">
        <v>147</v>
      </c>
      <c r="K16" s="86"/>
      <c r="L16" t="s">
        <v>140</v>
      </c>
      <c r="M16" t="s">
        <v>141</v>
      </c>
      <c r="Q16" s="40"/>
    </row>
    <row r="17" spans="1:27" ht="19" x14ac:dyDescent="0.25">
      <c r="A17" s="62" t="s">
        <v>594</v>
      </c>
      <c r="B17">
        <v>14</v>
      </c>
      <c r="C17" t="s">
        <v>608</v>
      </c>
      <c r="D17" s="74" t="s">
        <v>159</v>
      </c>
      <c r="E17" s="116"/>
      <c r="F17" s="116"/>
      <c r="G17" s="74" t="s">
        <v>135</v>
      </c>
      <c r="H17" s="86"/>
      <c r="I17" s="180">
        <v>0</v>
      </c>
      <c r="J17" s="74" t="s">
        <v>139</v>
      </c>
      <c r="K17" s="86" t="s">
        <v>196</v>
      </c>
      <c r="L17" s="74" t="s">
        <v>140</v>
      </c>
      <c r="M17" t="s">
        <v>141</v>
      </c>
      <c r="Q17" s="40"/>
    </row>
    <row r="18" spans="1:27" ht="19" x14ac:dyDescent="0.25">
      <c r="A18" s="62" t="s">
        <v>164</v>
      </c>
      <c r="B18">
        <v>15</v>
      </c>
      <c r="C18" t="s">
        <v>165</v>
      </c>
      <c r="D18" t="s">
        <v>159</v>
      </c>
      <c r="E18" s="86"/>
      <c r="F18" s="86"/>
      <c r="G18" t="s">
        <v>135</v>
      </c>
      <c r="H18" s="86"/>
      <c r="I18" s="180">
        <v>0</v>
      </c>
      <c r="J18" t="s">
        <v>147</v>
      </c>
      <c r="K18" s="86"/>
      <c r="L18" t="s">
        <v>140</v>
      </c>
      <c r="M18" t="s">
        <v>166</v>
      </c>
      <c r="Q18" s="40"/>
    </row>
    <row r="19" spans="1:27" ht="19" x14ac:dyDescent="0.25">
      <c r="A19" s="62" t="s">
        <v>167</v>
      </c>
      <c r="B19">
        <v>16</v>
      </c>
      <c r="C19" t="s">
        <v>168</v>
      </c>
      <c r="D19" t="s">
        <v>135</v>
      </c>
      <c r="E19" s="86"/>
      <c r="F19" s="86"/>
      <c r="G19" t="s">
        <v>135</v>
      </c>
      <c r="H19" s="86"/>
      <c r="I19" s="180">
        <v>0</v>
      </c>
      <c r="J19" t="s">
        <v>147</v>
      </c>
      <c r="K19" s="86"/>
      <c r="L19" t="s">
        <v>140</v>
      </c>
      <c r="M19" t="s">
        <v>166</v>
      </c>
      <c r="Q19" s="40"/>
    </row>
    <row r="20" spans="1:27" ht="19" x14ac:dyDescent="0.25">
      <c r="A20" s="62" t="s">
        <v>599</v>
      </c>
      <c r="B20">
        <v>17</v>
      </c>
      <c r="C20" t="s">
        <v>600</v>
      </c>
      <c r="D20" t="s">
        <v>135</v>
      </c>
      <c r="E20" s="86"/>
      <c r="F20" s="86"/>
      <c r="G20" t="s">
        <v>135</v>
      </c>
      <c r="H20" s="86"/>
      <c r="I20" s="180">
        <v>0</v>
      </c>
      <c r="J20" t="s">
        <v>139</v>
      </c>
      <c r="K20" s="86"/>
      <c r="L20" t="s">
        <v>140</v>
      </c>
      <c r="M20" t="s">
        <v>141</v>
      </c>
      <c r="Q20" s="40"/>
    </row>
    <row r="21" spans="1:27" ht="19" x14ac:dyDescent="0.25">
      <c r="A21" s="65" t="s">
        <v>169</v>
      </c>
      <c r="B21" s="64"/>
      <c r="C21" s="64"/>
      <c r="D21" s="69"/>
      <c r="E21" s="69"/>
      <c r="F21" s="69"/>
      <c r="G21" s="69"/>
      <c r="H21" s="69"/>
      <c r="I21" s="69"/>
      <c r="J21" s="69"/>
      <c r="K21" s="69"/>
      <c r="L21" s="69"/>
      <c r="M21" s="69"/>
      <c r="N21" s="64"/>
    </row>
    <row r="22" spans="1:27" ht="19" x14ac:dyDescent="0.25">
      <c r="A22" s="62" t="s">
        <v>170</v>
      </c>
      <c r="B22">
        <v>18</v>
      </c>
      <c r="C22" t="s">
        <v>171</v>
      </c>
      <c r="D22" t="s">
        <v>135</v>
      </c>
      <c r="E22" s="86"/>
      <c r="F22" s="86"/>
      <c r="G22" t="s">
        <v>137</v>
      </c>
      <c r="H22" s="86"/>
      <c r="I22" s="180">
        <v>0</v>
      </c>
      <c r="J22" t="s">
        <v>147</v>
      </c>
      <c r="K22" s="86"/>
      <c r="L22" t="s">
        <v>140</v>
      </c>
      <c r="M22" t="s">
        <v>172</v>
      </c>
      <c r="Q22" s="40"/>
    </row>
    <row r="23" spans="1:27" ht="19" x14ac:dyDescent="0.25">
      <c r="A23" s="62" t="s">
        <v>595</v>
      </c>
      <c r="B23">
        <v>19</v>
      </c>
      <c r="C23" t="s">
        <v>605</v>
      </c>
      <c r="D23" t="s">
        <v>135</v>
      </c>
      <c r="E23" s="86"/>
      <c r="F23" s="86"/>
      <c r="G23" t="s">
        <v>135</v>
      </c>
      <c r="H23" s="86"/>
      <c r="I23" s="180">
        <v>0</v>
      </c>
      <c r="J23" t="s">
        <v>147</v>
      </c>
      <c r="K23" s="86"/>
      <c r="L23" t="s">
        <v>140</v>
      </c>
      <c r="M23" t="s">
        <v>141</v>
      </c>
      <c r="Q23" s="40"/>
    </row>
    <row r="24" spans="1:27" ht="19" x14ac:dyDescent="0.25">
      <c r="A24" s="62" t="s">
        <v>596</v>
      </c>
      <c r="B24">
        <v>20</v>
      </c>
      <c r="C24" t="s">
        <v>609</v>
      </c>
      <c r="D24" t="s">
        <v>135</v>
      </c>
      <c r="E24" s="86"/>
      <c r="F24" s="86"/>
      <c r="G24" t="s">
        <v>135</v>
      </c>
      <c r="H24" s="86"/>
      <c r="I24" s="180">
        <v>0</v>
      </c>
      <c r="J24" t="s">
        <v>147</v>
      </c>
      <c r="K24" s="86"/>
      <c r="L24" t="s">
        <v>140</v>
      </c>
      <c r="M24" t="s">
        <v>519</v>
      </c>
      <c r="Q24" s="40"/>
    </row>
    <row r="25" spans="1:27" ht="19" x14ac:dyDescent="0.25">
      <c r="A25" s="62" t="s">
        <v>173</v>
      </c>
      <c r="B25">
        <v>21</v>
      </c>
      <c r="C25" t="s">
        <v>174</v>
      </c>
      <c r="D25" t="s">
        <v>135</v>
      </c>
      <c r="E25" s="86"/>
      <c r="F25" s="86"/>
      <c r="G25" t="s">
        <v>137</v>
      </c>
      <c r="H25" s="86"/>
      <c r="I25" s="180">
        <v>0</v>
      </c>
      <c r="J25" t="s">
        <v>147</v>
      </c>
      <c r="K25" s="86"/>
      <c r="L25" t="s">
        <v>140</v>
      </c>
      <c r="M25" t="s">
        <v>141</v>
      </c>
      <c r="Q25" s="40"/>
    </row>
    <row r="26" spans="1:27" ht="19" x14ac:dyDescent="0.25">
      <c r="A26" s="62" t="s">
        <v>175</v>
      </c>
      <c r="B26">
        <v>22</v>
      </c>
      <c r="C26" t="s">
        <v>176</v>
      </c>
      <c r="D26" t="s">
        <v>135</v>
      </c>
      <c r="E26" s="86"/>
      <c r="F26" s="86"/>
      <c r="G26" t="s">
        <v>137</v>
      </c>
      <c r="H26" s="86"/>
      <c r="I26" s="180">
        <v>0</v>
      </c>
      <c r="J26" t="s">
        <v>147</v>
      </c>
      <c r="K26" s="86"/>
      <c r="L26" t="s">
        <v>140</v>
      </c>
      <c r="M26" t="s">
        <v>141</v>
      </c>
      <c r="Q26" s="40"/>
    </row>
    <row r="27" spans="1:27" ht="19" x14ac:dyDescent="0.25">
      <c r="A27" s="65" t="s">
        <v>177</v>
      </c>
      <c r="B27" s="64"/>
      <c r="C27" s="64"/>
      <c r="D27" s="69"/>
      <c r="E27" s="69"/>
      <c r="F27" s="69"/>
      <c r="G27" s="69"/>
      <c r="H27" s="69"/>
      <c r="I27" s="69"/>
      <c r="J27" s="69"/>
      <c r="K27" s="69"/>
      <c r="L27" s="69"/>
      <c r="M27" s="69"/>
      <c r="N27" s="64"/>
    </row>
    <row r="28" spans="1:27" ht="19" x14ac:dyDescent="0.25">
      <c r="A28" s="62" t="s">
        <v>178</v>
      </c>
      <c r="B28">
        <v>23</v>
      </c>
      <c r="C28" t="s">
        <v>179</v>
      </c>
      <c r="D28" t="s">
        <v>159</v>
      </c>
      <c r="E28" s="105"/>
      <c r="F28" s="105"/>
      <c r="G28" t="s">
        <v>135</v>
      </c>
      <c r="H28" s="105"/>
      <c r="I28" s="180">
        <v>0</v>
      </c>
      <c r="J28" t="s">
        <v>147</v>
      </c>
      <c r="K28" s="105"/>
      <c r="L28" t="s">
        <v>180</v>
      </c>
      <c r="M28" t="s">
        <v>181</v>
      </c>
      <c r="Q28" s="40"/>
    </row>
    <row r="29" spans="1:27" ht="19" x14ac:dyDescent="0.25">
      <c r="A29" s="62" t="s">
        <v>182</v>
      </c>
      <c r="B29">
        <v>24</v>
      </c>
      <c r="C29" t="s">
        <v>183</v>
      </c>
      <c r="D29" t="s">
        <v>135</v>
      </c>
      <c r="E29" s="105"/>
      <c r="F29" s="105"/>
      <c r="G29" t="s">
        <v>135</v>
      </c>
      <c r="H29" s="105"/>
      <c r="I29" s="180">
        <v>0</v>
      </c>
      <c r="J29" t="s">
        <v>147</v>
      </c>
      <c r="K29" s="105"/>
      <c r="L29" t="s">
        <v>180</v>
      </c>
      <c r="M29" t="s">
        <v>181</v>
      </c>
      <c r="Q29" s="40"/>
    </row>
    <row r="30" spans="1:27" ht="19" x14ac:dyDescent="0.25">
      <c r="A30" s="62" t="s">
        <v>184</v>
      </c>
      <c r="B30">
        <v>25</v>
      </c>
      <c r="C30" t="s">
        <v>185</v>
      </c>
      <c r="D30" t="s">
        <v>135</v>
      </c>
      <c r="E30" s="105"/>
      <c r="F30" s="105"/>
      <c r="G30" t="s">
        <v>135</v>
      </c>
      <c r="H30" s="105"/>
      <c r="I30" s="180">
        <v>0</v>
      </c>
      <c r="J30" t="s">
        <v>147</v>
      </c>
      <c r="K30" s="105"/>
      <c r="L30" t="s">
        <v>140</v>
      </c>
      <c r="M30" t="s">
        <v>141</v>
      </c>
      <c r="Q30" s="40"/>
    </row>
    <row r="31" spans="1:27" ht="19" x14ac:dyDescent="0.25">
      <c r="A31" s="65" t="s">
        <v>186</v>
      </c>
      <c r="B31" s="64"/>
      <c r="C31" s="64"/>
      <c r="D31" s="69"/>
      <c r="E31" s="69"/>
      <c r="F31" s="69"/>
      <c r="G31" s="69"/>
      <c r="H31" s="69"/>
      <c r="I31" s="69"/>
      <c r="J31" s="69"/>
      <c r="K31" s="69"/>
      <c r="L31" s="69"/>
      <c r="M31" s="69"/>
      <c r="N31" s="64"/>
    </row>
    <row r="32" spans="1:27" ht="19" x14ac:dyDescent="0.25">
      <c r="A32" s="62" t="s">
        <v>187</v>
      </c>
      <c r="B32">
        <v>26</v>
      </c>
      <c r="C32" s="62" t="s">
        <v>188</v>
      </c>
      <c r="D32" s="62" t="s">
        <v>135</v>
      </c>
      <c r="E32" s="86"/>
      <c r="F32" s="86"/>
      <c r="G32" s="62" t="s">
        <v>137</v>
      </c>
      <c r="H32" s="86"/>
      <c r="I32" s="180">
        <v>0</v>
      </c>
      <c r="J32" s="62" t="s">
        <v>144</v>
      </c>
      <c r="K32" s="86"/>
      <c r="L32" s="62" t="s">
        <v>140</v>
      </c>
      <c r="M32" s="62" t="s">
        <v>166</v>
      </c>
      <c r="N32" s="62"/>
      <c r="O32" s="62"/>
      <c r="P32" s="62"/>
      <c r="Q32" s="40"/>
      <c r="R32" s="62"/>
      <c r="S32" s="62"/>
      <c r="T32" s="62"/>
      <c r="U32" s="62"/>
      <c r="V32" s="62"/>
      <c r="W32" s="62"/>
      <c r="X32" s="62"/>
      <c r="Y32" s="62"/>
      <c r="Z32" s="62"/>
      <c r="AA32" s="62"/>
    </row>
    <row r="33" spans="1:27" ht="19" x14ac:dyDescent="0.25">
      <c r="A33" s="62" t="s">
        <v>189</v>
      </c>
      <c r="B33">
        <v>27</v>
      </c>
      <c r="C33" s="62" t="s">
        <v>190</v>
      </c>
      <c r="D33" s="62" t="s">
        <v>135</v>
      </c>
      <c r="E33" s="86"/>
      <c r="F33" s="86"/>
      <c r="G33" s="62" t="s">
        <v>137</v>
      </c>
      <c r="H33" s="86"/>
      <c r="I33" s="180">
        <v>0</v>
      </c>
      <c r="J33" s="62" t="s">
        <v>144</v>
      </c>
      <c r="K33" s="86"/>
      <c r="L33" s="62" t="s">
        <v>140</v>
      </c>
      <c r="M33" s="62" t="s">
        <v>166</v>
      </c>
      <c r="N33" s="62"/>
      <c r="O33" s="62"/>
      <c r="P33" s="62"/>
      <c r="Q33" s="40"/>
      <c r="R33" s="62"/>
      <c r="S33" s="62"/>
      <c r="T33" s="62"/>
      <c r="U33" s="62"/>
      <c r="V33" s="62"/>
      <c r="W33" s="62"/>
      <c r="X33" s="62"/>
      <c r="Y33" s="62"/>
      <c r="Z33" s="62"/>
      <c r="AA33" s="62"/>
    </row>
    <row r="34" spans="1:27" ht="19" x14ac:dyDescent="0.25">
      <c r="A34" s="62" t="s">
        <v>191</v>
      </c>
      <c r="B34">
        <v>28</v>
      </c>
      <c r="C34" s="62" t="s">
        <v>192</v>
      </c>
      <c r="D34" s="62" t="s">
        <v>135</v>
      </c>
      <c r="E34" s="86"/>
      <c r="F34" s="86"/>
      <c r="G34" s="62" t="s">
        <v>135</v>
      </c>
      <c r="H34" s="86"/>
      <c r="I34" s="180">
        <v>0</v>
      </c>
      <c r="J34" s="62" t="s">
        <v>147</v>
      </c>
      <c r="K34" s="86"/>
      <c r="L34" s="62" t="s">
        <v>140</v>
      </c>
      <c r="M34" s="62" t="s">
        <v>166</v>
      </c>
      <c r="N34" s="62"/>
      <c r="O34" s="62"/>
      <c r="P34" s="62"/>
      <c r="Q34" s="40"/>
      <c r="R34" s="62"/>
      <c r="S34" s="62"/>
      <c r="T34" s="62"/>
      <c r="U34" s="62"/>
      <c r="V34" s="62"/>
      <c r="W34" s="62"/>
      <c r="X34" s="62"/>
      <c r="Y34" s="62"/>
      <c r="Z34" s="62"/>
      <c r="AA34" s="62"/>
    </row>
    <row r="35" spans="1:27" ht="19" x14ac:dyDescent="0.25">
      <c r="A35" s="65" t="s">
        <v>193</v>
      </c>
      <c r="B35" s="64"/>
      <c r="C35" s="64"/>
      <c r="D35" s="69"/>
      <c r="E35" s="69"/>
      <c r="F35" s="69"/>
      <c r="G35" s="69"/>
      <c r="H35" s="69"/>
      <c r="I35" s="69"/>
      <c r="J35" s="69"/>
      <c r="K35" s="69"/>
      <c r="L35" s="69"/>
      <c r="M35" s="69"/>
      <c r="N35" s="64"/>
    </row>
    <row r="36" spans="1:27" ht="19" x14ac:dyDescent="0.25">
      <c r="A36" s="62" t="s">
        <v>194</v>
      </c>
      <c r="B36">
        <v>29</v>
      </c>
      <c r="C36" t="s">
        <v>195</v>
      </c>
      <c r="D36" t="s">
        <v>135</v>
      </c>
      <c r="E36" s="105"/>
      <c r="F36" s="105"/>
      <c r="G36" t="s">
        <v>137</v>
      </c>
      <c r="H36" s="105"/>
      <c r="I36" s="180">
        <v>0</v>
      </c>
      <c r="J36" t="s">
        <v>147</v>
      </c>
      <c r="K36" s="105" t="s">
        <v>196</v>
      </c>
      <c r="L36" t="s">
        <v>140</v>
      </c>
      <c r="M36" t="s">
        <v>197</v>
      </c>
      <c r="Q36" s="40"/>
    </row>
    <row r="37" spans="1:27" ht="19" x14ac:dyDescent="0.25">
      <c r="A37" s="62" t="s">
        <v>202</v>
      </c>
      <c r="B37">
        <v>30</v>
      </c>
      <c r="C37" t="s">
        <v>606</v>
      </c>
      <c r="D37" s="62" t="s">
        <v>135</v>
      </c>
      <c r="E37" s="105"/>
      <c r="F37" s="105"/>
      <c r="G37" s="62" t="s">
        <v>137</v>
      </c>
      <c r="H37" s="105"/>
      <c r="I37" s="180">
        <v>0</v>
      </c>
      <c r="J37" s="62" t="s">
        <v>139</v>
      </c>
      <c r="K37" s="105"/>
      <c r="L37" t="s">
        <v>140</v>
      </c>
      <c r="M37" t="s">
        <v>141</v>
      </c>
      <c r="Q37" s="40"/>
    </row>
    <row r="38" spans="1:27" ht="19" x14ac:dyDescent="0.25">
      <c r="A38" s="65" t="s">
        <v>198</v>
      </c>
      <c r="B38" s="64"/>
      <c r="C38" s="64"/>
      <c r="D38" s="69"/>
      <c r="E38" s="69"/>
      <c r="F38" s="69"/>
      <c r="G38" s="69"/>
      <c r="H38" s="69"/>
      <c r="I38" s="69"/>
      <c r="J38" s="69"/>
      <c r="K38" s="69"/>
      <c r="L38" s="69"/>
      <c r="M38" s="69"/>
      <c r="N38" s="64"/>
    </row>
    <row r="39" spans="1:27" ht="19" x14ac:dyDescent="0.25">
      <c r="A39" s="62" t="s">
        <v>199</v>
      </c>
      <c r="B39">
        <v>31</v>
      </c>
      <c r="C39" t="s">
        <v>200</v>
      </c>
      <c r="D39" t="s">
        <v>159</v>
      </c>
      <c r="E39" s="105"/>
      <c r="F39" s="105"/>
      <c r="G39" t="s">
        <v>135</v>
      </c>
      <c r="H39" s="105"/>
      <c r="I39" s="180">
        <v>0</v>
      </c>
      <c r="J39" t="s">
        <v>147</v>
      </c>
      <c r="K39" s="105"/>
      <c r="L39" t="s">
        <v>140</v>
      </c>
      <c r="M39" t="s">
        <v>166</v>
      </c>
      <c r="Q39" s="40"/>
    </row>
    <row r="40" spans="1:27" ht="19" x14ac:dyDescent="0.25">
      <c r="A40" s="62" t="s">
        <v>601</v>
      </c>
      <c r="B40">
        <v>32</v>
      </c>
      <c r="C40" t="s">
        <v>610</v>
      </c>
      <c r="D40" t="s">
        <v>159</v>
      </c>
      <c r="E40" s="105"/>
      <c r="F40" s="105"/>
      <c r="G40" t="s">
        <v>135</v>
      </c>
      <c r="H40" s="105"/>
      <c r="I40" s="180">
        <v>0</v>
      </c>
      <c r="J40" t="s">
        <v>147</v>
      </c>
      <c r="K40" s="105"/>
      <c r="L40" t="s">
        <v>140</v>
      </c>
      <c r="M40" t="s">
        <v>166</v>
      </c>
      <c r="Q40" s="40"/>
    </row>
    <row r="41" spans="1:27" ht="19" x14ac:dyDescent="0.25">
      <c r="A41" s="62" t="s">
        <v>602</v>
      </c>
      <c r="B41">
        <v>33</v>
      </c>
      <c r="C41" t="s">
        <v>603</v>
      </c>
      <c r="D41" t="s">
        <v>135</v>
      </c>
      <c r="E41" s="105"/>
      <c r="F41" s="105"/>
      <c r="G41" s="62" t="s">
        <v>137</v>
      </c>
      <c r="H41" s="105"/>
      <c r="I41" s="180">
        <v>0</v>
      </c>
      <c r="J41" t="s">
        <v>147</v>
      </c>
      <c r="K41" s="105"/>
      <c r="L41" t="s">
        <v>140</v>
      </c>
      <c r="M41" t="s">
        <v>141</v>
      </c>
      <c r="Q41" s="40"/>
    </row>
    <row r="42" spans="1:27" ht="19" x14ac:dyDescent="0.2">
      <c r="A42" s="65" t="s">
        <v>646</v>
      </c>
      <c r="B42" s="62"/>
    </row>
    <row r="44" spans="1:27" ht="6.5" customHeight="1" x14ac:dyDescent="0.2">
      <c r="A44" s="117"/>
      <c r="B44" s="118"/>
      <c r="C44" s="118"/>
      <c r="D44" s="118"/>
      <c r="E44" s="118"/>
      <c r="F44" s="118"/>
      <c r="G44" s="118"/>
      <c r="H44" s="118"/>
      <c r="I44" s="118"/>
      <c r="J44" s="118"/>
      <c r="K44" s="118"/>
      <c r="L44" s="118"/>
      <c r="M44" s="118"/>
      <c r="N44" s="118"/>
    </row>
    <row r="47" spans="1:27" x14ac:dyDescent="0.2">
      <c r="A47" s="112"/>
    </row>
    <row r="48" spans="1:27" x14ac:dyDescent="0.2">
      <c r="A48" s="76"/>
    </row>
    <row r="49" spans="1:1" x14ac:dyDescent="0.2">
      <c r="A49" s="112"/>
    </row>
    <row r="56" spans="1:1" x14ac:dyDescent="0.2">
      <c r="A56" s="70"/>
    </row>
    <row r="75" spans="1:1" x14ac:dyDescent="0.2">
      <c r="A75" s="62"/>
    </row>
    <row r="76" spans="1:1" x14ac:dyDescent="0.2">
      <c r="A76" s="63"/>
    </row>
    <row r="77" spans="1:1" x14ac:dyDescent="0.2">
      <c r="A77" s="63"/>
    </row>
    <row r="78" spans="1:1" x14ac:dyDescent="0.2">
      <c r="A78" s="63"/>
    </row>
    <row r="80" spans="1:1" ht="19" x14ac:dyDescent="0.2">
      <c r="A80" s="61"/>
    </row>
    <row r="81" spans="1:1" x14ac:dyDescent="0.2">
      <c r="A81" s="62"/>
    </row>
    <row r="82" spans="1:1" x14ac:dyDescent="0.2">
      <c r="A82" s="63"/>
    </row>
    <row r="83" spans="1:1" x14ac:dyDescent="0.2">
      <c r="A83" s="63"/>
    </row>
    <row r="84" spans="1:1" x14ac:dyDescent="0.2">
      <c r="A84" s="63"/>
    </row>
    <row r="86" spans="1:1" ht="19" x14ac:dyDescent="0.2">
      <c r="A86" s="61"/>
    </row>
    <row r="87" spans="1:1" x14ac:dyDescent="0.2">
      <c r="A87" s="62"/>
    </row>
    <row r="88" spans="1:1" x14ac:dyDescent="0.2">
      <c r="A88" s="63"/>
    </row>
    <row r="89" spans="1:1" x14ac:dyDescent="0.2">
      <c r="A89" s="63"/>
    </row>
    <row r="90" spans="1:1" x14ac:dyDescent="0.2">
      <c r="A90" s="63"/>
    </row>
    <row r="92" spans="1:1" ht="19" x14ac:dyDescent="0.2">
      <c r="A92" s="61"/>
    </row>
    <row r="93" spans="1:1" x14ac:dyDescent="0.2">
      <c r="A93" s="62"/>
    </row>
    <row r="94" spans="1:1" x14ac:dyDescent="0.2">
      <c r="A94" s="63"/>
    </row>
    <row r="95" spans="1:1" x14ac:dyDescent="0.2">
      <c r="A95" s="63"/>
    </row>
    <row r="96" spans="1:1" x14ac:dyDescent="0.2">
      <c r="A96" s="63"/>
    </row>
    <row r="97" spans="1:1" x14ac:dyDescent="0.2">
      <c r="A97" s="63"/>
    </row>
  </sheetData>
  <mergeCells count="1">
    <mergeCell ref="M1:N1"/>
  </mergeCell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491509E6-75FD-4966-8AA4-95BD1A3965D4}">
          <x14:formula1>
            <xm:f>' Parametros, no tocar'!$F$4:$F$10</xm:f>
          </x14:formula1>
          <xm:sqref>F3:F14 F16:F20 F22:F26 F28:F30 F39:F41 F36:F37 F32:F34</xm:sqref>
        </x14:dataValidation>
        <x14:dataValidation type="list" allowBlank="1" showInputMessage="1" showErrorMessage="1" xr:uid="{CCEA8D40-65E3-442F-BD64-AAE2BAF0E212}">
          <x14:formula1>
            <xm:f>' Parametros, no tocar'!$B$4:$B$5</xm:f>
          </x14:formula1>
          <xm:sqref>E3:E14 E16:E20 E22:E26 E28:E30 E39:E41 E36:E37 E32:E34</xm:sqref>
        </x14:dataValidation>
        <x14:dataValidation type="list" allowBlank="1" showInputMessage="1" showErrorMessage="1" xr:uid="{23110847-E009-4C2B-B8E4-0CA355D80FFF}">
          <x14:formula1>
            <xm:f>' Parametros, no tocar'!$B$8:$B$10</xm:f>
          </x14:formula1>
          <xm:sqref>H28:H30 H3:H14 H16:H20 H22:H26 H36:H37 H32:H34 H39:H41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87B4C-458B-459E-9D74-EB6150522218}">
  <sheetPr>
    <tabColor theme="9" tint="0.59999389629810485"/>
  </sheetPr>
  <dimension ref="A1:D43"/>
  <sheetViews>
    <sheetView tabSelected="1" zoomScaleNormal="100" workbookViewId="0">
      <pane ySplit="1" topLeftCell="A2" activePane="bottomLeft" state="frozen"/>
      <selection pane="bottomLeft" activeCell="D1" sqref="D1"/>
    </sheetView>
  </sheetViews>
  <sheetFormatPr baseColWidth="10" defaultRowHeight="16" x14ac:dyDescent="0.2"/>
  <cols>
    <col min="1" max="1" width="4.83203125" customWidth="1"/>
    <col min="2" max="2" width="55.5" customWidth="1"/>
    <col min="3" max="3" width="114.33203125" customWidth="1"/>
    <col min="4" max="4" width="37.33203125" customWidth="1"/>
  </cols>
  <sheetData>
    <row r="1" spans="1:4" x14ac:dyDescent="0.2">
      <c r="B1" s="104" t="s">
        <v>611</v>
      </c>
      <c r="C1" s="103" t="s">
        <v>613</v>
      </c>
      <c r="D1" s="105" t="s">
        <v>204</v>
      </c>
    </row>
    <row r="2" spans="1:4" ht="19" x14ac:dyDescent="0.2">
      <c r="A2" s="64"/>
      <c r="B2" s="119" t="s">
        <v>132</v>
      </c>
      <c r="C2" s="64"/>
      <c r="D2" s="64"/>
    </row>
    <row r="3" spans="1:4" x14ac:dyDescent="0.2">
      <c r="A3">
        <v>1</v>
      </c>
      <c r="B3" s="73" t="s">
        <v>133</v>
      </c>
      <c r="C3" t="s">
        <v>614</v>
      </c>
      <c r="D3" s="105"/>
    </row>
    <row r="4" spans="1:4" x14ac:dyDescent="0.2">
      <c r="A4">
        <v>2</v>
      </c>
      <c r="B4" s="73" t="s">
        <v>142</v>
      </c>
      <c r="C4" t="s">
        <v>615</v>
      </c>
      <c r="D4" s="105"/>
    </row>
    <row r="5" spans="1:4" x14ac:dyDescent="0.2">
      <c r="A5">
        <v>3</v>
      </c>
      <c r="B5" s="73" t="s">
        <v>145</v>
      </c>
      <c r="C5" t="s">
        <v>616</v>
      </c>
      <c r="D5" s="105"/>
    </row>
    <row r="6" spans="1:4" x14ac:dyDescent="0.2">
      <c r="A6">
        <v>4</v>
      </c>
      <c r="B6" s="73" t="s">
        <v>149</v>
      </c>
      <c r="C6" t="s">
        <v>617</v>
      </c>
      <c r="D6" s="105"/>
    </row>
    <row r="7" spans="1:4" x14ac:dyDescent="0.2">
      <c r="A7">
        <v>5</v>
      </c>
      <c r="B7" s="73" t="s">
        <v>151</v>
      </c>
      <c r="C7" t="s">
        <v>618</v>
      </c>
      <c r="D7" s="105"/>
    </row>
    <row r="8" spans="1:4" x14ac:dyDescent="0.2">
      <c r="A8">
        <v>6</v>
      </c>
      <c r="B8" s="73" t="s">
        <v>597</v>
      </c>
      <c r="C8" t="s">
        <v>619</v>
      </c>
      <c r="D8" s="105"/>
    </row>
    <row r="9" spans="1:4" x14ac:dyDescent="0.2">
      <c r="A9">
        <v>7</v>
      </c>
      <c r="B9" s="73" t="s">
        <v>598</v>
      </c>
      <c r="C9" t="s">
        <v>620</v>
      </c>
      <c r="D9" s="105"/>
    </row>
    <row r="10" spans="1:4" x14ac:dyDescent="0.2">
      <c r="A10">
        <v>8</v>
      </c>
      <c r="B10" s="73" t="s">
        <v>153</v>
      </c>
      <c r="C10" t="s">
        <v>621</v>
      </c>
      <c r="D10" s="120"/>
    </row>
    <row r="11" spans="1:4" x14ac:dyDescent="0.2">
      <c r="A11">
        <v>9</v>
      </c>
      <c r="B11" s="73" t="s">
        <v>155</v>
      </c>
      <c r="C11" t="s">
        <v>622</v>
      </c>
      <c r="D11" s="120"/>
    </row>
    <row r="12" spans="1:4" x14ac:dyDescent="0.2">
      <c r="A12">
        <v>10</v>
      </c>
      <c r="B12" s="73" t="s">
        <v>157</v>
      </c>
      <c r="C12" t="s">
        <v>623</v>
      </c>
      <c r="D12" s="120"/>
    </row>
    <row r="13" spans="1:4" x14ac:dyDescent="0.2">
      <c r="A13">
        <v>11</v>
      </c>
      <c r="B13" s="73" t="s">
        <v>589</v>
      </c>
      <c r="C13" t="s">
        <v>624</v>
      </c>
      <c r="D13" s="120"/>
    </row>
    <row r="14" spans="1:4" x14ac:dyDescent="0.2">
      <c r="A14">
        <v>12</v>
      </c>
      <c r="B14" s="73" t="s">
        <v>591</v>
      </c>
      <c r="C14" t="s">
        <v>625</v>
      </c>
      <c r="D14" s="120"/>
    </row>
    <row r="15" spans="1:4" ht="19" x14ac:dyDescent="0.2">
      <c r="A15" s="64"/>
      <c r="B15" s="119" t="s">
        <v>161</v>
      </c>
      <c r="C15" s="64"/>
      <c r="D15" s="64"/>
    </row>
    <row r="16" spans="1:4" x14ac:dyDescent="0.2">
      <c r="A16">
        <v>13</v>
      </c>
      <c r="B16" s="73" t="s">
        <v>162</v>
      </c>
      <c r="C16" t="s">
        <v>626</v>
      </c>
      <c r="D16" s="121"/>
    </row>
    <row r="17" spans="1:4" x14ac:dyDescent="0.2">
      <c r="A17">
        <v>14</v>
      </c>
      <c r="B17" s="73" t="s">
        <v>594</v>
      </c>
      <c r="C17" t="s">
        <v>627</v>
      </c>
      <c r="D17" s="121"/>
    </row>
    <row r="18" spans="1:4" x14ac:dyDescent="0.2">
      <c r="A18">
        <v>15</v>
      </c>
      <c r="B18" s="73" t="s">
        <v>164</v>
      </c>
      <c r="C18" t="s">
        <v>628</v>
      </c>
      <c r="D18" s="121"/>
    </row>
    <row r="19" spans="1:4" x14ac:dyDescent="0.2">
      <c r="A19">
        <v>16</v>
      </c>
      <c r="B19" s="73" t="s">
        <v>167</v>
      </c>
      <c r="C19" t="s">
        <v>629</v>
      </c>
      <c r="D19" s="121"/>
    </row>
    <row r="20" spans="1:4" x14ac:dyDescent="0.2">
      <c r="A20">
        <v>17</v>
      </c>
      <c r="B20" s="73" t="s">
        <v>599</v>
      </c>
      <c r="C20" t="s">
        <v>630</v>
      </c>
      <c r="D20" s="105"/>
    </row>
    <row r="21" spans="1:4" ht="19" x14ac:dyDescent="0.2">
      <c r="A21" s="64"/>
      <c r="B21" s="119" t="s">
        <v>169</v>
      </c>
      <c r="C21" s="64"/>
      <c r="D21" s="65"/>
    </row>
    <row r="22" spans="1:4" x14ac:dyDescent="0.2">
      <c r="A22">
        <v>18</v>
      </c>
      <c r="B22" s="73" t="s">
        <v>170</v>
      </c>
      <c r="C22" t="s">
        <v>631</v>
      </c>
      <c r="D22" s="86"/>
    </row>
    <row r="23" spans="1:4" x14ac:dyDescent="0.2">
      <c r="A23">
        <v>19</v>
      </c>
      <c r="B23" s="73" t="s">
        <v>595</v>
      </c>
      <c r="C23" t="s">
        <v>632</v>
      </c>
      <c r="D23" s="121"/>
    </row>
    <row r="24" spans="1:4" x14ac:dyDescent="0.2">
      <c r="A24">
        <v>20</v>
      </c>
      <c r="B24" s="73" t="s">
        <v>596</v>
      </c>
      <c r="C24" t="s">
        <v>633</v>
      </c>
      <c r="D24" s="121"/>
    </row>
    <row r="25" spans="1:4" x14ac:dyDescent="0.2">
      <c r="A25">
        <v>21</v>
      </c>
      <c r="B25" s="73" t="s">
        <v>173</v>
      </c>
      <c r="C25" t="s">
        <v>632</v>
      </c>
      <c r="D25" s="121"/>
    </row>
    <row r="26" spans="1:4" x14ac:dyDescent="0.2">
      <c r="A26">
        <v>22</v>
      </c>
      <c r="B26" s="73" t="s">
        <v>175</v>
      </c>
      <c r="C26" t="s">
        <v>632</v>
      </c>
      <c r="D26" s="105"/>
    </row>
    <row r="27" spans="1:4" ht="19" x14ac:dyDescent="0.2">
      <c r="A27" s="64"/>
      <c r="B27" s="119" t="s">
        <v>177</v>
      </c>
      <c r="C27" s="64"/>
      <c r="D27" s="65"/>
    </row>
    <row r="28" spans="1:4" x14ac:dyDescent="0.2">
      <c r="A28">
        <v>23</v>
      </c>
      <c r="B28" s="73" t="s">
        <v>178</v>
      </c>
      <c r="C28" t="s">
        <v>634</v>
      </c>
      <c r="D28" s="86"/>
    </row>
    <row r="29" spans="1:4" x14ac:dyDescent="0.2">
      <c r="A29">
        <v>24</v>
      </c>
      <c r="B29" s="73" t="s">
        <v>182</v>
      </c>
      <c r="C29" t="s">
        <v>635</v>
      </c>
      <c r="D29" s="121"/>
    </row>
    <row r="30" spans="1:4" x14ac:dyDescent="0.2">
      <c r="A30">
        <v>25</v>
      </c>
      <c r="B30" s="73" t="s">
        <v>184</v>
      </c>
      <c r="C30" t="s">
        <v>636</v>
      </c>
      <c r="D30" s="121"/>
    </row>
    <row r="31" spans="1:4" ht="19" x14ac:dyDescent="0.2">
      <c r="A31" s="64"/>
      <c r="B31" s="119" t="s">
        <v>186</v>
      </c>
      <c r="C31" s="64"/>
      <c r="D31" s="64"/>
    </row>
    <row r="32" spans="1:4" ht="19" x14ac:dyDescent="0.2">
      <c r="A32">
        <v>26</v>
      </c>
      <c r="B32" s="73" t="s">
        <v>187</v>
      </c>
      <c r="C32" t="s">
        <v>638</v>
      </c>
      <c r="D32" s="122"/>
    </row>
    <row r="33" spans="1:4" x14ac:dyDescent="0.2">
      <c r="A33">
        <v>27</v>
      </c>
      <c r="B33" s="73" t="s">
        <v>189</v>
      </c>
      <c r="C33" t="s">
        <v>637</v>
      </c>
      <c r="D33" s="86"/>
    </row>
    <row r="34" spans="1:4" x14ac:dyDescent="0.2">
      <c r="A34">
        <v>28</v>
      </c>
      <c r="B34" s="73" t="s">
        <v>191</v>
      </c>
      <c r="C34" t="s">
        <v>638</v>
      </c>
      <c r="D34" s="121"/>
    </row>
    <row r="35" spans="1:4" ht="19" x14ac:dyDescent="0.2">
      <c r="A35" s="64"/>
      <c r="B35" s="119" t="s">
        <v>193</v>
      </c>
      <c r="C35" s="64"/>
      <c r="D35" s="64"/>
    </row>
    <row r="36" spans="1:4" ht="19" x14ac:dyDescent="0.2">
      <c r="A36">
        <v>29</v>
      </c>
      <c r="B36" s="73" t="s">
        <v>194</v>
      </c>
      <c r="C36" t="s">
        <v>639</v>
      </c>
      <c r="D36" s="122"/>
    </row>
    <row r="37" spans="1:4" x14ac:dyDescent="0.2">
      <c r="A37">
        <v>30</v>
      </c>
      <c r="B37" s="73" t="s">
        <v>202</v>
      </c>
      <c r="C37" t="s">
        <v>639</v>
      </c>
      <c r="D37" s="86"/>
    </row>
    <row r="38" spans="1:4" ht="19" x14ac:dyDescent="0.2">
      <c r="A38" s="64"/>
      <c r="B38" s="119" t="s">
        <v>198</v>
      </c>
      <c r="C38" s="119"/>
      <c r="D38" s="130"/>
    </row>
    <row r="39" spans="1:4" x14ac:dyDescent="0.2">
      <c r="A39">
        <v>31</v>
      </c>
      <c r="B39" s="73" t="s">
        <v>199</v>
      </c>
      <c r="C39" t="s">
        <v>642</v>
      </c>
      <c r="D39" s="105"/>
    </row>
    <row r="40" spans="1:4" x14ac:dyDescent="0.2">
      <c r="A40">
        <v>32</v>
      </c>
      <c r="B40" s="73" t="s">
        <v>601</v>
      </c>
      <c r="C40" t="s">
        <v>640</v>
      </c>
      <c r="D40" s="105"/>
    </row>
    <row r="41" spans="1:4" x14ac:dyDescent="0.2">
      <c r="A41">
        <v>33</v>
      </c>
      <c r="B41" s="73" t="s">
        <v>602</v>
      </c>
      <c r="C41" t="s">
        <v>641</v>
      </c>
      <c r="D41" s="105"/>
    </row>
    <row r="43" spans="1:4" ht="7" customHeight="1" x14ac:dyDescent="0.2">
      <c r="A43" s="118"/>
      <c r="B43" s="118"/>
      <c r="C43" s="118"/>
      <c r="D43" s="11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47E4B-B5D4-4629-8244-E1BA8B6C3293}">
  <sheetPr>
    <tabColor theme="9" tint="0.59999389629810485"/>
  </sheetPr>
  <dimension ref="A1:W75"/>
  <sheetViews>
    <sheetView zoomScaleNormal="100" workbookViewId="0">
      <pane xSplit="1" ySplit="1" topLeftCell="B17" activePane="bottomRight" state="frozen"/>
      <selection pane="topRight" activeCell="B1" sqref="B1"/>
      <selection pane="bottomLeft" activeCell="A2" sqref="A2"/>
      <selection pane="bottomRight" activeCell="I28" sqref="I28"/>
    </sheetView>
  </sheetViews>
  <sheetFormatPr baseColWidth="10" defaultColWidth="11" defaultRowHeight="16" x14ac:dyDescent="0.2"/>
  <cols>
    <col min="1" max="1" width="64.33203125" customWidth="1"/>
    <col min="2" max="2" width="11.33203125" customWidth="1"/>
    <col min="3" max="3" width="57.1640625" customWidth="1"/>
    <col min="9" max="9" width="14.33203125" customWidth="1"/>
    <col min="13" max="13" width="18.83203125" customWidth="1"/>
  </cols>
  <sheetData>
    <row r="1" spans="1:15" ht="140" x14ac:dyDescent="0.25">
      <c r="A1" s="83" t="s">
        <v>643</v>
      </c>
      <c r="B1" s="83" t="s">
        <v>593</v>
      </c>
      <c r="C1" s="84" t="s">
        <v>52</v>
      </c>
      <c r="D1" s="67" t="s">
        <v>123</v>
      </c>
      <c r="E1" s="68" t="s">
        <v>124</v>
      </c>
      <c r="F1" s="68" t="s">
        <v>20</v>
      </c>
      <c r="G1" s="67" t="s">
        <v>125</v>
      </c>
      <c r="H1" s="68" t="s">
        <v>126</v>
      </c>
      <c r="I1" s="68" t="s">
        <v>127</v>
      </c>
      <c r="J1" s="67" t="s">
        <v>128</v>
      </c>
      <c r="K1" s="68" t="s">
        <v>129</v>
      </c>
      <c r="L1" s="67" t="s">
        <v>130</v>
      </c>
      <c r="M1" s="67" t="s">
        <v>131</v>
      </c>
    </row>
    <row r="2" spans="1:15" ht="19" x14ac:dyDescent="0.25">
      <c r="A2" s="65" t="s">
        <v>205</v>
      </c>
      <c r="B2" s="64"/>
      <c r="C2" s="64"/>
      <c r="D2" s="69"/>
      <c r="E2" s="69"/>
      <c r="F2" s="69"/>
      <c r="G2" s="69"/>
      <c r="H2" s="69"/>
      <c r="I2" s="69"/>
      <c r="J2" s="69"/>
      <c r="K2" s="69"/>
      <c r="L2" s="69"/>
      <c r="M2" s="69"/>
    </row>
    <row r="3" spans="1:15" x14ac:dyDescent="0.2">
      <c r="A3" s="62" t="s">
        <v>206</v>
      </c>
      <c r="B3" s="66">
        <v>1</v>
      </c>
      <c r="C3" t="s">
        <v>207</v>
      </c>
      <c r="D3" t="s">
        <v>159</v>
      </c>
      <c r="E3" s="105"/>
      <c r="F3" s="105"/>
      <c r="G3" t="s">
        <v>135</v>
      </c>
      <c r="H3" s="105"/>
      <c r="I3" s="105">
        <v>0</v>
      </c>
      <c r="J3" t="s">
        <v>147</v>
      </c>
      <c r="K3" s="105"/>
      <c r="L3" t="s">
        <v>140</v>
      </c>
      <c r="M3" t="s">
        <v>181</v>
      </c>
    </row>
    <row r="4" spans="1:15" x14ac:dyDescent="0.2">
      <c r="A4" s="62" t="s">
        <v>208</v>
      </c>
      <c r="B4" s="66">
        <v>2</v>
      </c>
      <c r="C4" t="s">
        <v>209</v>
      </c>
      <c r="D4" t="s">
        <v>144</v>
      </c>
      <c r="E4" s="105"/>
      <c r="F4" s="105"/>
      <c r="G4" t="s">
        <v>137</v>
      </c>
      <c r="H4" s="105"/>
      <c r="I4" s="105">
        <v>0</v>
      </c>
      <c r="J4" t="s">
        <v>139</v>
      </c>
      <c r="K4" s="105"/>
      <c r="L4" t="s">
        <v>140</v>
      </c>
      <c r="M4" t="s">
        <v>141</v>
      </c>
    </row>
    <row r="5" spans="1:15" x14ac:dyDescent="0.2">
      <c r="A5" s="62" t="s">
        <v>210</v>
      </c>
      <c r="B5" s="66">
        <v>3</v>
      </c>
      <c r="C5" t="s">
        <v>211</v>
      </c>
      <c r="D5" t="s">
        <v>144</v>
      </c>
      <c r="E5" s="105"/>
      <c r="F5" s="105"/>
      <c r="G5" t="s">
        <v>137</v>
      </c>
      <c r="H5" s="105"/>
      <c r="I5" s="105">
        <v>0</v>
      </c>
      <c r="J5" t="s">
        <v>139</v>
      </c>
      <c r="K5" s="105"/>
      <c r="L5" t="s">
        <v>140</v>
      </c>
    </row>
    <row r="6" spans="1:15" x14ac:dyDescent="0.2">
      <c r="A6" s="62" t="s">
        <v>212</v>
      </c>
      <c r="B6" s="66">
        <v>4</v>
      </c>
      <c r="C6" t="s">
        <v>213</v>
      </c>
      <c r="D6" t="s">
        <v>144</v>
      </c>
      <c r="E6" s="105"/>
      <c r="F6" s="105"/>
      <c r="G6" t="s">
        <v>137</v>
      </c>
      <c r="H6" s="105"/>
      <c r="I6" s="105">
        <v>0</v>
      </c>
      <c r="J6" t="s">
        <v>139</v>
      </c>
      <c r="K6" s="105"/>
      <c r="L6" t="s">
        <v>140</v>
      </c>
      <c r="M6" t="s">
        <v>141</v>
      </c>
    </row>
    <row r="7" spans="1:15" x14ac:dyDescent="0.2">
      <c r="A7" s="62" t="s">
        <v>214</v>
      </c>
      <c r="B7" s="66">
        <v>5</v>
      </c>
      <c r="C7" t="s">
        <v>215</v>
      </c>
      <c r="D7" t="s">
        <v>144</v>
      </c>
      <c r="E7" s="105"/>
      <c r="F7" s="105"/>
      <c r="G7" t="s">
        <v>137</v>
      </c>
      <c r="H7" s="105"/>
      <c r="I7" s="105">
        <v>0</v>
      </c>
      <c r="J7" t="s">
        <v>139</v>
      </c>
      <c r="K7" s="105"/>
      <c r="L7" t="s">
        <v>140</v>
      </c>
      <c r="M7" t="s">
        <v>141</v>
      </c>
    </row>
    <row r="8" spans="1:15" x14ac:dyDescent="0.2">
      <c r="A8" s="62" t="s">
        <v>216</v>
      </c>
      <c r="B8" s="66">
        <v>6</v>
      </c>
      <c r="C8" t="s">
        <v>217</v>
      </c>
      <c r="D8" t="s">
        <v>135</v>
      </c>
      <c r="E8" s="105"/>
      <c r="F8" s="105"/>
      <c r="G8" t="s">
        <v>137</v>
      </c>
      <c r="H8" s="105"/>
      <c r="I8" s="105">
        <v>0</v>
      </c>
      <c r="J8" t="s">
        <v>139</v>
      </c>
      <c r="K8" s="105"/>
      <c r="L8" t="s">
        <v>140</v>
      </c>
      <c r="M8" t="s">
        <v>141</v>
      </c>
    </row>
    <row r="9" spans="1:15" x14ac:dyDescent="0.2">
      <c r="A9" s="62" t="s">
        <v>255</v>
      </c>
      <c r="B9" s="66">
        <v>7</v>
      </c>
      <c r="C9" t="s">
        <v>647</v>
      </c>
      <c r="D9" t="s">
        <v>135</v>
      </c>
      <c r="E9" s="105"/>
      <c r="F9" s="105"/>
      <c r="G9" t="s">
        <v>135</v>
      </c>
      <c r="H9" s="105"/>
      <c r="I9" s="105">
        <v>0</v>
      </c>
      <c r="J9" t="s">
        <v>147</v>
      </c>
      <c r="K9" s="105"/>
      <c r="L9" t="s">
        <v>140</v>
      </c>
      <c r="M9" t="s">
        <v>181</v>
      </c>
      <c r="O9" t="s">
        <v>196</v>
      </c>
    </row>
    <row r="10" spans="1:15" x14ac:dyDescent="0.2">
      <c r="A10" s="62" t="s">
        <v>256</v>
      </c>
      <c r="B10" s="66">
        <v>8</v>
      </c>
      <c r="C10" t="s">
        <v>648</v>
      </c>
      <c r="D10" t="s">
        <v>144</v>
      </c>
      <c r="E10" s="105"/>
      <c r="F10" s="105"/>
      <c r="G10" t="s">
        <v>137</v>
      </c>
      <c r="H10" s="105"/>
      <c r="I10" s="105">
        <v>0</v>
      </c>
      <c r="J10" t="s">
        <v>139</v>
      </c>
      <c r="K10" s="105"/>
      <c r="L10" t="s">
        <v>140</v>
      </c>
      <c r="M10" t="s">
        <v>141</v>
      </c>
      <c r="O10" t="s">
        <v>196</v>
      </c>
    </row>
    <row r="11" spans="1:15" ht="19" x14ac:dyDescent="0.25">
      <c r="A11" s="65" t="s">
        <v>218</v>
      </c>
      <c r="B11" s="64"/>
      <c r="C11" s="64"/>
      <c r="D11" s="69"/>
      <c r="E11" s="72"/>
      <c r="F11" s="69"/>
      <c r="G11" s="69"/>
      <c r="H11" s="69"/>
      <c r="I11" s="69"/>
      <c r="J11" s="69"/>
      <c r="K11" s="69"/>
      <c r="L11" s="69"/>
      <c r="M11" s="69"/>
    </row>
    <row r="12" spans="1:15" x14ac:dyDescent="0.2">
      <c r="A12" s="62" t="s">
        <v>219</v>
      </c>
      <c r="B12" s="66">
        <v>9</v>
      </c>
      <c r="C12" t="s">
        <v>220</v>
      </c>
      <c r="D12" t="s">
        <v>135</v>
      </c>
      <c r="E12" s="105"/>
      <c r="F12" s="105"/>
      <c r="G12" t="s">
        <v>137</v>
      </c>
      <c r="H12" s="105"/>
      <c r="I12" s="105">
        <v>0</v>
      </c>
      <c r="J12" t="s">
        <v>147</v>
      </c>
      <c r="K12" s="105"/>
      <c r="L12" t="s">
        <v>140</v>
      </c>
      <c r="M12" t="s">
        <v>141</v>
      </c>
    </row>
    <row r="13" spans="1:15" x14ac:dyDescent="0.2">
      <c r="A13" s="62" t="s">
        <v>221</v>
      </c>
      <c r="B13" s="66">
        <v>10</v>
      </c>
      <c r="C13" t="s">
        <v>222</v>
      </c>
      <c r="D13" t="s">
        <v>135</v>
      </c>
      <c r="E13" s="105"/>
      <c r="F13" s="105"/>
      <c r="G13" t="s">
        <v>137</v>
      </c>
      <c r="H13" s="105"/>
      <c r="I13" s="105">
        <v>0</v>
      </c>
      <c r="J13" t="s">
        <v>139</v>
      </c>
      <c r="K13" s="105"/>
      <c r="L13" t="s">
        <v>140</v>
      </c>
      <c r="M13" t="s">
        <v>141</v>
      </c>
    </row>
    <row r="14" spans="1:15" x14ac:dyDescent="0.2">
      <c r="A14" s="62" t="s">
        <v>223</v>
      </c>
      <c r="B14" s="66">
        <v>11</v>
      </c>
      <c r="C14" t="s">
        <v>224</v>
      </c>
      <c r="D14" t="s">
        <v>144</v>
      </c>
      <c r="E14" s="105"/>
      <c r="F14" s="105"/>
      <c r="G14" t="s">
        <v>137</v>
      </c>
      <c r="H14" s="105"/>
      <c r="I14" s="105">
        <v>0</v>
      </c>
      <c r="J14" t="s">
        <v>139</v>
      </c>
      <c r="K14" s="105"/>
      <c r="L14" t="s">
        <v>140</v>
      </c>
      <c r="M14" t="s">
        <v>181</v>
      </c>
      <c r="N14" s="96"/>
    </row>
    <row r="15" spans="1:15" x14ac:dyDescent="0.2">
      <c r="A15" s="62" t="s">
        <v>225</v>
      </c>
      <c r="B15" s="66">
        <v>12</v>
      </c>
      <c r="C15" t="s">
        <v>226</v>
      </c>
      <c r="D15" t="s">
        <v>144</v>
      </c>
      <c r="E15" s="105"/>
      <c r="F15" s="105"/>
      <c r="G15" t="s">
        <v>137</v>
      </c>
      <c r="H15" s="105"/>
      <c r="I15" s="105">
        <v>0</v>
      </c>
      <c r="J15" t="s">
        <v>139</v>
      </c>
      <c r="K15" s="105"/>
      <c r="L15" t="s">
        <v>140</v>
      </c>
      <c r="M15" t="s">
        <v>181</v>
      </c>
    </row>
    <row r="16" spans="1:15" x14ac:dyDescent="0.2">
      <c r="A16" s="62" t="s">
        <v>227</v>
      </c>
      <c r="B16" s="66">
        <v>13</v>
      </c>
      <c r="C16" t="s">
        <v>228</v>
      </c>
      <c r="D16" t="s">
        <v>144</v>
      </c>
      <c r="E16" s="105"/>
      <c r="F16" s="105"/>
      <c r="G16" t="s">
        <v>137</v>
      </c>
      <c r="H16" s="105"/>
      <c r="I16" s="105">
        <v>0</v>
      </c>
      <c r="J16" t="s">
        <v>139</v>
      </c>
      <c r="K16" s="105"/>
      <c r="L16" t="s">
        <v>140</v>
      </c>
      <c r="M16" t="s">
        <v>181</v>
      </c>
    </row>
    <row r="17" spans="1:23" x14ac:dyDescent="0.2">
      <c r="A17" s="62" t="s">
        <v>229</v>
      </c>
      <c r="B17" s="66">
        <v>14</v>
      </c>
      <c r="C17" t="s">
        <v>230</v>
      </c>
      <c r="D17" t="s">
        <v>135</v>
      </c>
      <c r="E17" s="105"/>
      <c r="F17" s="105"/>
      <c r="G17" t="s">
        <v>137</v>
      </c>
      <c r="H17" s="105"/>
      <c r="I17" s="105">
        <v>0</v>
      </c>
      <c r="J17" t="s">
        <v>135</v>
      </c>
      <c r="K17" s="105"/>
      <c r="L17" t="s">
        <v>140</v>
      </c>
      <c r="M17" t="s">
        <v>141</v>
      </c>
    </row>
    <row r="18" spans="1:23" x14ac:dyDescent="0.2">
      <c r="A18" s="62" t="s">
        <v>231</v>
      </c>
      <c r="B18" s="66">
        <v>15</v>
      </c>
      <c r="C18" t="s">
        <v>232</v>
      </c>
      <c r="D18" t="s">
        <v>144</v>
      </c>
      <c r="E18" s="105"/>
      <c r="F18" s="105"/>
      <c r="G18" t="s">
        <v>137</v>
      </c>
      <c r="H18" s="105"/>
      <c r="I18" s="105">
        <v>0</v>
      </c>
      <c r="J18" t="s">
        <v>139</v>
      </c>
      <c r="K18" s="105"/>
      <c r="L18" t="s">
        <v>140</v>
      </c>
      <c r="M18" t="s">
        <v>141</v>
      </c>
    </row>
    <row r="19" spans="1:23" ht="19" x14ac:dyDescent="0.25">
      <c r="A19" s="62" t="s">
        <v>233</v>
      </c>
      <c r="B19" s="66">
        <v>16</v>
      </c>
      <c r="C19" t="s">
        <v>846</v>
      </c>
      <c r="D19" t="s">
        <v>159</v>
      </c>
      <c r="E19" s="105"/>
      <c r="F19" s="105"/>
      <c r="G19" t="s">
        <v>135</v>
      </c>
      <c r="H19" s="105"/>
      <c r="I19" s="105">
        <v>0</v>
      </c>
      <c r="J19" t="s">
        <v>147</v>
      </c>
      <c r="K19" s="105"/>
      <c r="L19" t="s">
        <v>140</v>
      </c>
      <c r="M19" t="s">
        <v>181</v>
      </c>
      <c r="S19" s="40"/>
    </row>
    <row r="20" spans="1:23" ht="19" x14ac:dyDescent="0.25">
      <c r="A20" s="62" t="s">
        <v>234</v>
      </c>
      <c r="B20" s="66">
        <v>17</v>
      </c>
      <c r="C20" t="s">
        <v>235</v>
      </c>
      <c r="D20" t="s">
        <v>135</v>
      </c>
      <c r="E20" s="105"/>
      <c r="F20" s="105"/>
      <c r="G20" t="s">
        <v>137</v>
      </c>
      <c r="H20" s="105"/>
      <c r="I20" s="105">
        <v>0</v>
      </c>
      <c r="J20" t="s">
        <v>147</v>
      </c>
      <c r="K20" s="105"/>
      <c r="L20" t="s">
        <v>140</v>
      </c>
      <c r="M20" t="s">
        <v>181</v>
      </c>
      <c r="S20" s="40"/>
    </row>
    <row r="21" spans="1:23" ht="19" x14ac:dyDescent="0.25">
      <c r="A21" s="62" t="s">
        <v>236</v>
      </c>
      <c r="B21" s="66">
        <v>18</v>
      </c>
      <c r="C21" t="s">
        <v>237</v>
      </c>
      <c r="D21" t="s">
        <v>135</v>
      </c>
      <c r="E21" s="105"/>
      <c r="F21" s="105"/>
      <c r="G21" t="s">
        <v>137</v>
      </c>
      <c r="H21" s="105"/>
      <c r="I21" s="105">
        <v>0</v>
      </c>
      <c r="J21" t="s">
        <v>139</v>
      </c>
      <c r="K21" s="105"/>
      <c r="L21" t="s">
        <v>140</v>
      </c>
      <c r="M21" t="s">
        <v>141</v>
      </c>
      <c r="S21" s="40"/>
    </row>
    <row r="22" spans="1:23" ht="19" x14ac:dyDescent="0.25">
      <c r="A22" s="62" t="s">
        <v>257</v>
      </c>
      <c r="B22" s="66">
        <v>19</v>
      </c>
      <c r="C22" t="s">
        <v>649</v>
      </c>
      <c r="D22" t="s">
        <v>144</v>
      </c>
      <c r="E22" s="105"/>
      <c r="F22" s="105"/>
      <c r="G22" t="s">
        <v>137</v>
      </c>
      <c r="H22" s="105"/>
      <c r="I22" s="105">
        <v>0</v>
      </c>
      <c r="J22" t="s">
        <v>144</v>
      </c>
      <c r="K22" s="105"/>
      <c r="L22" t="s">
        <v>140</v>
      </c>
      <c r="M22" t="s">
        <v>650</v>
      </c>
      <c r="S22" s="40"/>
    </row>
    <row r="23" spans="1:23" ht="19" x14ac:dyDescent="0.25">
      <c r="A23" s="65" t="s">
        <v>238</v>
      </c>
      <c r="B23" s="64"/>
      <c r="C23" s="64"/>
      <c r="D23" s="69"/>
      <c r="E23" s="69"/>
      <c r="F23" s="69"/>
      <c r="G23" s="69"/>
      <c r="H23" s="69"/>
      <c r="I23" s="69"/>
      <c r="J23" s="69"/>
      <c r="K23" s="69"/>
      <c r="L23" s="69"/>
      <c r="M23" s="69"/>
    </row>
    <row r="24" spans="1:23" x14ac:dyDescent="0.2">
      <c r="A24" s="62" t="s">
        <v>239</v>
      </c>
      <c r="B24" s="66">
        <v>20</v>
      </c>
      <c r="C24" t="s">
        <v>240</v>
      </c>
      <c r="D24" t="s">
        <v>159</v>
      </c>
      <c r="E24" s="105"/>
      <c r="F24" s="105"/>
      <c r="G24" t="s">
        <v>135</v>
      </c>
      <c r="H24" s="105"/>
      <c r="I24" s="105">
        <v>0</v>
      </c>
      <c r="J24" t="s">
        <v>135</v>
      </c>
      <c r="K24" s="105"/>
      <c r="L24" t="s">
        <v>180</v>
      </c>
      <c r="M24" t="s">
        <v>181</v>
      </c>
    </row>
    <row r="25" spans="1:23" x14ac:dyDescent="0.2">
      <c r="A25" s="62" t="s">
        <v>241</v>
      </c>
      <c r="B25" s="66">
        <v>21</v>
      </c>
      <c r="C25" t="s">
        <v>242</v>
      </c>
      <c r="D25" t="s">
        <v>135</v>
      </c>
      <c r="E25" s="105"/>
      <c r="F25" s="105"/>
      <c r="G25" t="s">
        <v>137</v>
      </c>
      <c r="H25" s="105"/>
      <c r="I25" s="105">
        <v>0</v>
      </c>
      <c r="J25" t="s">
        <v>147</v>
      </c>
      <c r="K25" s="105"/>
      <c r="L25" t="s">
        <v>140</v>
      </c>
      <c r="M25" t="s">
        <v>141</v>
      </c>
    </row>
    <row r="26" spans="1:23" x14ac:dyDescent="0.2">
      <c r="A26" s="62" t="s">
        <v>243</v>
      </c>
      <c r="B26" s="66">
        <v>22</v>
      </c>
      <c r="C26" t="s">
        <v>244</v>
      </c>
      <c r="D26" t="s">
        <v>159</v>
      </c>
      <c r="E26" s="105"/>
      <c r="F26" s="105"/>
      <c r="G26" t="s">
        <v>135</v>
      </c>
      <c r="H26" s="105"/>
      <c r="I26" s="105">
        <v>0</v>
      </c>
      <c r="J26" t="s">
        <v>135</v>
      </c>
      <c r="K26" s="105"/>
      <c r="L26" t="s">
        <v>180</v>
      </c>
      <c r="M26" t="s">
        <v>181</v>
      </c>
    </row>
    <row r="27" spans="1:23" x14ac:dyDescent="0.2">
      <c r="A27" s="62" t="s">
        <v>245</v>
      </c>
      <c r="B27" s="66">
        <v>23</v>
      </c>
      <c r="C27" t="s">
        <v>651</v>
      </c>
      <c r="D27" t="s">
        <v>159</v>
      </c>
      <c r="E27" s="105"/>
      <c r="F27" s="105"/>
      <c r="G27" t="s">
        <v>137</v>
      </c>
      <c r="H27" s="105"/>
      <c r="I27" s="105">
        <v>0</v>
      </c>
      <c r="J27" t="s">
        <v>147</v>
      </c>
      <c r="K27" s="105"/>
      <c r="L27" t="s">
        <v>140</v>
      </c>
      <c r="M27" t="s">
        <v>652</v>
      </c>
    </row>
    <row r="28" spans="1:23" ht="19" x14ac:dyDescent="0.25">
      <c r="A28" s="65" t="s">
        <v>246</v>
      </c>
      <c r="B28" s="64"/>
      <c r="C28" s="64"/>
      <c r="D28" s="69"/>
      <c r="E28" s="69"/>
      <c r="F28" s="69"/>
      <c r="G28" s="69"/>
      <c r="H28" s="69"/>
      <c r="I28" s="69"/>
      <c r="J28" s="69"/>
      <c r="K28" s="69"/>
      <c r="L28" s="69"/>
      <c r="M28" s="69"/>
    </row>
    <row r="29" spans="1:23" ht="19" x14ac:dyDescent="0.25">
      <c r="A29" s="62" t="s">
        <v>247</v>
      </c>
      <c r="B29" s="66">
        <v>24</v>
      </c>
      <c r="C29" t="s">
        <v>248</v>
      </c>
      <c r="D29" t="s">
        <v>135</v>
      </c>
      <c r="E29" s="105"/>
      <c r="F29" s="105"/>
      <c r="G29" t="s">
        <v>137</v>
      </c>
      <c r="H29" s="105"/>
      <c r="I29" s="105">
        <v>0</v>
      </c>
      <c r="J29" t="s">
        <v>139</v>
      </c>
      <c r="K29" s="105"/>
      <c r="L29" t="s">
        <v>140</v>
      </c>
      <c r="M29" t="s">
        <v>181</v>
      </c>
      <c r="W29" s="40"/>
    </row>
    <row r="30" spans="1:23" ht="19" x14ac:dyDescent="0.25">
      <c r="A30" s="62" t="s">
        <v>249</v>
      </c>
      <c r="B30" s="66">
        <v>25</v>
      </c>
      <c r="C30" t="s">
        <v>250</v>
      </c>
      <c r="D30" t="s">
        <v>135</v>
      </c>
      <c r="E30" s="105"/>
      <c r="F30" s="105"/>
      <c r="G30" t="s">
        <v>137</v>
      </c>
      <c r="H30" s="105"/>
      <c r="I30" s="105">
        <v>0</v>
      </c>
      <c r="J30" t="s">
        <v>147</v>
      </c>
      <c r="K30" s="105"/>
      <c r="L30" t="s">
        <v>140</v>
      </c>
      <c r="M30" t="s">
        <v>141</v>
      </c>
      <c r="W30" s="40"/>
    </row>
    <row r="31" spans="1:23" ht="19" x14ac:dyDescent="0.25">
      <c r="A31" s="62" t="s">
        <v>251</v>
      </c>
      <c r="B31" s="66">
        <v>26</v>
      </c>
      <c r="C31" t="s">
        <v>252</v>
      </c>
      <c r="D31" t="s">
        <v>135</v>
      </c>
      <c r="E31" s="105"/>
      <c r="F31" s="105"/>
      <c r="G31" t="s">
        <v>137</v>
      </c>
      <c r="H31" s="105"/>
      <c r="I31" s="105">
        <v>0</v>
      </c>
      <c r="J31" t="s">
        <v>139</v>
      </c>
      <c r="K31" s="105"/>
      <c r="L31" t="s">
        <v>140</v>
      </c>
      <c r="M31" t="s">
        <v>141</v>
      </c>
      <c r="W31" s="40"/>
    </row>
    <row r="32" spans="1:23" ht="19" x14ac:dyDescent="0.25">
      <c r="A32" s="62" t="s">
        <v>258</v>
      </c>
      <c r="B32" s="66">
        <v>27</v>
      </c>
      <c r="C32" t="s">
        <v>653</v>
      </c>
      <c r="D32" t="s">
        <v>135</v>
      </c>
      <c r="E32" s="105"/>
      <c r="F32" s="105"/>
      <c r="G32" t="s">
        <v>137</v>
      </c>
      <c r="H32" s="105"/>
      <c r="I32" s="105">
        <v>0</v>
      </c>
      <c r="J32" t="s">
        <v>139</v>
      </c>
      <c r="K32" s="105"/>
      <c r="L32" t="s">
        <v>140</v>
      </c>
      <c r="M32" t="s">
        <v>654</v>
      </c>
      <c r="W32" s="40"/>
    </row>
    <row r="33" spans="1:23" ht="19" x14ac:dyDescent="0.25">
      <c r="A33" s="62" t="s">
        <v>253</v>
      </c>
      <c r="B33" s="66">
        <v>28</v>
      </c>
      <c r="C33" t="s">
        <v>254</v>
      </c>
      <c r="D33" t="s">
        <v>135</v>
      </c>
      <c r="E33" s="105"/>
      <c r="F33" s="105"/>
      <c r="G33" t="s">
        <v>137</v>
      </c>
      <c r="H33" s="105"/>
      <c r="I33" s="105">
        <v>0</v>
      </c>
      <c r="J33" t="s">
        <v>139</v>
      </c>
      <c r="K33" s="105"/>
      <c r="L33" t="s">
        <v>140</v>
      </c>
      <c r="M33" t="s">
        <v>141</v>
      </c>
      <c r="W33" s="40"/>
    </row>
    <row r="34" spans="1:23" ht="19" x14ac:dyDescent="0.25">
      <c r="A34" s="93" t="s">
        <v>644</v>
      </c>
      <c r="B34" s="64"/>
      <c r="C34" s="93"/>
      <c r="D34" s="93"/>
      <c r="E34" s="93"/>
      <c r="F34" s="93"/>
      <c r="G34" s="93"/>
      <c r="H34" s="93"/>
      <c r="I34" s="93"/>
      <c r="J34" s="93"/>
      <c r="K34" s="93"/>
      <c r="L34" s="93"/>
      <c r="M34" s="93"/>
      <c r="W34" s="40"/>
    </row>
    <row r="35" spans="1:23" ht="19" x14ac:dyDescent="0.25">
      <c r="A35" s="62" t="s">
        <v>259</v>
      </c>
      <c r="B35" s="66">
        <v>29</v>
      </c>
      <c r="C35" t="s">
        <v>655</v>
      </c>
      <c r="D35" t="s">
        <v>135</v>
      </c>
      <c r="E35" s="105"/>
      <c r="F35" s="105"/>
      <c r="G35" t="s">
        <v>137</v>
      </c>
      <c r="H35" s="105"/>
      <c r="I35" s="105">
        <v>0</v>
      </c>
      <c r="J35" t="s">
        <v>147</v>
      </c>
      <c r="K35" s="105"/>
      <c r="L35" t="s">
        <v>140</v>
      </c>
      <c r="M35" t="s">
        <v>652</v>
      </c>
      <c r="N35" t="s">
        <v>196</v>
      </c>
      <c r="W35" s="40"/>
    </row>
    <row r="36" spans="1:23" ht="19" x14ac:dyDescent="0.25">
      <c r="A36" s="62" t="s">
        <v>645</v>
      </c>
      <c r="B36" s="66">
        <v>30</v>
      </c>
      <c r="C36" t="s">
        <v>656</v>
      </c>
      <c r="D36" t="s">
        <v>135</v>
      </c>
      <c r="E36" s="105"/>
      <c r="F36" s="105"/>
      <c r="G36" t="s">
        <v>137</v>
      </c>
      <c r="H36" s="105"/>
      <c r="I36" s="105">
        <v>0</v>
      </c>
      <c r="J36" t="s">
        <v>144</v>
      </c>
      <c r="K36" s="105"/>
      <c r="L36" t="s">
        <v>140</v>
      </c>
      <c r="M36" t="s">
        <v>652</v>
      </c>
      <c r="W36" s="40"/>
    </row>
    <row r="37" spans="1:23" ht="19" x14ac:dyDescent="0.25">
      <c r="A37" s="62" t="s">
        <v>260</v>
      </c>
      <c r="B37" s="66">
        <v>31</v>
      </c>
      <c r="C37" t="s">
        <v>657</v>
      </c>
      <c r="D37" t="s">
        <v>135</v>
      </c>
      <c r="E37" s="105"/>
      <c r="F37" s="105"/>
      <c r="G37" t="s">
        <v>137</v>
      </c>
      <c r="H37" s="105"/>
      <c r="I37" s="105">
        <v>0</v>
      </c>
      <c r="J37" t="s">
        <v>139</v>
      </c>
      <c r="K37" s="105"/>
      <c r="L37" t="s">
        <v>140</v>
      </c>
      <c r="M37" t="s">
        <v>658</v>
      </c>
      <c r="W37" s="40"/>
    </row>
    <row r="38" spans="1:23" ht="19" x14ac:dyDescent="0.25">
      <c r="A38" s="62" t="s">
        <v>261</v>
      </c>
      <c r="B38" s="66">
        <v>32</v>
      </c>
      <c r="C38" t="s">
        <v>659</v>
      </c>
      <c r="D38" t="s">
        <v>135</v>
      </c>
      <c r="E38" s="105"/>
      <c r="F38" s="105"/>
      <c r="G38" t="s">
        <v>137</v>
      </c>
      <c r="H38" s="105"/>
      <c r="I38" s="105">
        <v>0</v>
      </c>
      <c r="J38" t="s">
        <v>139</v>
      </c>
      <c r="K38" s="105"/>
      <c r="L38" t="s">
        <v>140</v>
      </c>
      <c r="M38" t="s">
        <v>660</v>
      </c>
      <c r="W38" s="40"/>
    </row>
    <row r="39" spans="1:23" ht="19" x14ac:dyDescent="0.25">
      <c r="A39" s="62" t="s">
        <v>262</v>
      </c>
      <c r="B39" s="66">
        <v>33</v>
      </c>
      <c r="C39" t="s">
        <v>661</v>
      </c>
      <c r="D39" t="s">
        <v>135</v>
      </c>
      <c r="E39" s="105"/>
      <c r="F39" s="105"/>
      <c r="G39" t="s">
        <v>137</v>
      </c>
      <c r="H39" s="105"/>
      <c r="I39" s="105">
        <v>0</v>
      </c>
      <c r="J39" t="s">
        <v>139</v>
      </c>
      <c r="K39" s="105"/>
      <c r="L39" t="s">
        <v>140</v>
      </c>
      <c r="M39" t="s">
        <v>650</v>
      </c>
      <c r="W39" s="40"/>
    </row>
    <row r="40" spans="1:23" x14ac:dyDescent="0.2">
      <c r="A40" s="62" t="s">
        <v>263</v>
      </c>
      <c r="B40" s="66">
        <v>34</v>
      </c>
      <c r="C40" t="s">
        <v>662</v>
      </c>
      <c r="D40" t="s">
        <v>135</v>
      </c>
      <c r="E40" s="105"/>
      <c r="F40" s="105"/>
      <c r="G40" t="s">
        <v>137</v>
      </c>
      <c r="H40" s="105"/>
      <c r="I40" s="105">
        <v>0</v>
      </c>
      <c r="J40" t="s">
        <v>139</v>
      </c>
      <c r="K40" s="105"/>
      <c r="L40" t="s">
        <v>140</v>
      </c>
      <c r="M40" t="s">
        <v>654</v>
      </c>
    </row>
    <row r="41" spans="1:23" x14ac:dyDescent="0.2">
      <c r="A41" s="62" t="s">
        <v>264</v>
      </c>
      <c r="B41" s="66">
        <v>35</v>
      </c>
      <c r="C41" t="s">
        <v>663</v>
      </c>
      <c r="D41" t="s">
        <v>135</v>
      </c>
      <c r="E41" s="105"/>
      <c r="F41" s="105"/>
      <c r="G41" t="s">
        <v>137</v>
      </c>
      <c r="H41" s="105"/>
      <c r="I41" s="105">
        <v>0</v>
      </c>
      <c r="J41" t="s">
        <v>139</v>
      </c>
      <c r="K41" s="105"/>
      <c r="L41" t="s">
        <v>140</v>
      </c>
      <c r="M41" t="s">
        <v>654</v>
      </c>
    </row>
    <row r="42" spans="1:23" ht="19" x14ac:dyDescent="0.25">
      <c r="A42" s="65" t="s">
        <v>646</v>
      </c>
      <c r="B42" s="64"/>
      <c r="C42" s="64"/>
      <c r="D42" s="69"/>
      <c r="E42" s="69"/>
      <c r="F42" s="69"/>
      <c r="G42" s="69"/>
      <c r="H42" s="69"/>
      <c r="I42" s="69"/>
      <c r="J42" s="69"/>
      <c r="K42" s="69"/>
      <c r="L42" s="69"/>
      <c r="M42" s="69"/>
    </row>
    <row r="43" spans="1:23" x14ac:dyDescent="0.2">
      <c r="A43" s="62"/>
      <c r="B43" s="62"/>
    </row>
    <row r="44" spans="1:23" ht="6.5" customHeight="1" x14ac:dyDescent="0.2">
      <c r="A44" s="118"/>
      <c r="B44" s="118"/>
      <c r="C44" s="118"/>
      <c r="D44" s="118"/>
      <c r="E44" s="118"/>
      <c r="F44" s="118"/>
      <c r="G44" s="118"/>
      <c r="H44" s="118"/>
      <c r="I44" s="118"/>
      <c r="J44" s="118"/>
      <c r="K44" s="118"/>
      <c r="L44" s="118"/>
      <c r="M44" s="118"/>
    </row>
    <row r="46" spans="1:23" ht="19" x14ac:dyDescent="0.2">
      <c r="A46" s="61"/>
      <c r="B46" s="61"/>
    </row>
    <row r="48" spans="1:23" ht="19" x14ac:dyDescent="0.25">
      <c r="A48" s="40"/>
      <c r="B48" s="40"/>
      <c r="C48" s="40"/>
      <c r="D48" s="41"/>
      <c r="E48" s="41"/>
      <c r="F48" s="41"/>
      <c r="G48" s="41"/>
      <c r="H48" s="41"/>
      <c r="I48" s="40"/>
    </row>
    <row r="49" spans="1:2" ht="19" x14ac:dyDescent="0.2">
      <c r="A49" s="61"/>
      <c r="B49" s="61"/>
    </row>
    <row r="53" spans="1:2" ht="19" x14ac:dyDescent="0.2">
      <c r="A53" s="61"/>
      <c r="B53" s="61"/>
    </row>
    <row r="66" spans="3:3" x14ac:dyDescent="0.2">
      <c r="C66" s="62"/>
    </row>
    <row r="69" spans="3:3" x14ac:dyDescent="0.2">
      <c r="C69" s="62"/>
    </row>
    <row r="71" spans="3:3" ht="19" x14ac:dyDescent="0.2">
      <c r="C71" s="61"/>
    </row>
    <row r="72" spans="3:3" x14ac:dyDescent="0.2">
      <c r="C72" s="62"/>
    </row>
    <row r="73" spans="3:3" x14ac:dyDescent="0.2">
      <c r="C73" s="62"/>
    </row>
    <row r="74" spans="3:3" x14ac:dyDescent="0.2">
      <c r="C74" s="62"/>
    </row>
    <row r="75" spans="3:3" x14ac:dyDescent="0.2">
      <c r="C75" s="62"/>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C39229B1-66B3-414E-942C-002F2ABEB8AE}">
          <x14:formula1>
            <xm:f>' Parametros, no tocar'!$F$4:$F$10</xm:f>
          </x14:formula1>
          <xm:sqref>F24:F27 F3:F10 F12:F22 F29:F39</xm:sqref>
        </x14:dataValidation>
        <x14:dataValidation type="list" allowBlank="1" showInputMessage="1" showErrorMessage="1" xr:uid="{15874B83-480B-42DE-9217-31AF59FDA93E}">
          <x14:formula1>
            <xm:f>' Parametros, no tocar'!$B$8:$B$11</xm:f>
          </x14:formula1>
          <xm:sqref>H12:H22 H24:H27 H3:H10 H29:H39 I34</xm:sqref>
        </x14:dataValidation>
        <x14:dataValidation type="list" allowBlank="1" showInputMessage="1" showErrorMessage="1" xr:uid="{D7884E3C-C05E-4473-9439-44BA4267EFC1}">
          <x14:formula1>
            <xm:f>' Parametros, no tocar'!$B$4:$B$5</xm:f>
          </x14:formula1>
          <xm:sqref>E24:E27 E3:E10 E12:E22 E29:E39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446AC1-DB4D-4622-9C17-3144854F0CE9}">
  <sheetPr>
    <tabColor theme="9" tint="0.59999389629810485"/>
  </sheetPr>
  <dimension ref="A1:E51"/>
  <sheetViews>
    <sheetView zoomScaleNormal="100" workbookViewId="0">
      <pane ySplit="1" topLeftCell="A2" activePane="bottomLeft" state="frozen"/>
      <selection pane="bottomLeft" activeCell="C14" sqref="C14"/>
    </sheetView>
  </sheetViews>
  <sheetFormatPr baseColWidth="10" defaultRowHeight="16" x14ac:dyDescent="0.2"/>
  <cols>
    <col min="1" max="1" width="5.6640625" customWidth="1"/>
    <col min="2" max="2" width="61.83203125" customWidth="1"/>
    <col min="3" max="3" width="171.6640625" customWidth="1"/>
    <col min="4" max="4" width="42.1640625" customWidth="1"/>
  </cols>
  <sheetData>
    <row r="1" spans="1:5" ht="19" x14ac:dyDescent="0.2">
      <c r="A1" s="83"/>
      <c r="B1" s="83" t="s">
        <v>643</v>
      </c>
      <c r="C1" s="103" t="s">
        <v>613</v>
      </c>
      <c r="D1" s="105" t="s">
        <v>204</v>
      </c>
    </row>
    <row r="2" spans="1:5" ht="19" x14ac:dyDescent="0.2">
      <c r="A2" s="64"/>
      <c r="B2" s="65" t="s">
        <v>205</v>
      </c>
      <c r="C2" s="64"/>
      <c r="D2" s="64"/>
    </row>
    <row r="3" spans="1:5" ht="18" x14ac:dyDescent="0.2">
      <c r="A3" s="66">
        <v>1</v>
      </c>
      <c r="B3" s="62" t="s">
        <v>206</v>
      </c>
      <c r="C3" t="s">
        <v>664</v>
      </c>
      <c r="D3" s="126"/>
    </row>
    <row r="4" spans="1:5" x14ac:dyDescent="0.2">
      <c r="A4" s="66">
        <v>2</v>
      </c>
      <c r="B4" s="62" t="s">
        <v>208</v>
      </c>
      <c r="C4" t="s">
        <v>665</v>
      </c>
      <c r="D4" s="105" t="s">
        <v>666</v>
      </c>
    </row>
    <row r="5" spans="1:5" x14ac:dyDescent="0.2">
      <c r="A5" s="66">
        <v>3</v>
      </c>
      <c r="B5" s="62" t="s">
        <v>210</v>
      </c>
      <c r="C5" t="s">
        <v>667</v>
      </c>
      <c r="D5" s="105" t="s">
        <v>668</v>
      </c>
    </row>
    <row r="6" spans="1:5" ht="18" x14ac:dyDescent="0.2">
      <c r="A6" s="66">
        <v>4</v>
      </c>
      <c r="B6" s="62" t="s">
        <v>212</v>
      </c>
      <c r="C6" s="125" t="s">
        <v>669</v>
      </c>
      <c r="D6" s="126"/>
      <c r="E6" s="123"/>
    </row>
    <row r="7" spans="1:5" x14ac:dyDescent="0.2">
      <c r="A7" s="66">
        <v>5</v>
      </c>
      <c r="B7" s="62" t="s">
        <v>214</v>
      </c>
      <c r="C7" t="s">
        <v>670</v>
      </c>
      <c r="D7" s="127"/>
      <c r="E7" s="124"/>
    </row>
    <row r="8" spans="1:5" ht="17" x14ac:dyDescent="0.2">
      <c r="A8" s="66">
        <v>6</v>
      </c>
      <c r="B8" s="62" t="s">
        <v>216</v>
      </c>
      <c r="C8" s="125" t="s">
        <v>671</v>
      </c>
      <c r="D8" s="128"/>
      <c r="E8" s="125"/>
    </row>
    <row r="9" spans="1:5" ht="17" x14ac:dyDescent="0.2">
      <c r="A9" s="66">
        <v>7</v>
      </c>
      <c r="B9" s="62" t="s">
        <v>255</v>
      </c>
      <c r="C9" s="125" t="s">
        <v>672</v>
      </c>
      <c r="D9" s="128"/>
      <c r="E9" s="124"/>
    </row>
    <row r="10" spans="1:5" x14ac:dyDescent="0.2">
      <c r="A10" s="66">
        <v>8</v>
      </c>
      <c r="B10" s="62" t="s">
        <v>256</v>
      </c>
      <c r="C10" s="124"/>
      <c r="D10" s="127"/>
      <c r="E10" s="124"/>
    </row>
    <row r="11" spans="1:5" ht="19" x14ac:dyDescent="0.2">
      <c r="A11" s="64"/>
      <c r="B11" s="65" t="s">
        <v>218</v>
      </c>
      <c r="C11" s="64"/>
      <c r="D11" s="129"/>
      <c r="E11" s="123"/>
    </row>
    <row r="12" spans="1:5" ht="19" x14ac:dyDescent="0.2">
      <c r="A12" s="66">
        <v>9</v>
      </c>
      <c r="B12" s="62" t="s">
        <v>219</v>
      </c>
      <c r="C12" t="s">
        <v>671</v>
      </c>
      <c r="D12" s="122"/>
    </row>
    <row r="13" spans="1:5" x14ac:dyDescent="0.2">
      <c r="A13" s="66">
        <v>10</v>
      </c>
      <c r="B13" s="62" t="s">
        <v>221</v>
      </c>
      <c r="C13" t="s">
        <v>673</v>
      </c>
      <c r="D13" s="86"/>
    </row>
    <row r="14" spans="1:5" x14ac:dyDescent="0.2">
      <c r="A14" s="66">
        <v>11</v>
      </c>
      <c r="B14" s="62" t="s">
        <v>223</v>
      </c>
      <c r="C14" t="s">
        <v>674</v>
      </c>
      <c r="D14" s="121"/>
    </row>
    <row r="15" spans="1:5" x14ac:dyDescent="0.2">
      <c r="A15" s="66">
        <v>12</v>
      </c>
      <c r="B15" s="62" t="s">
        <v>225</v>
      </c>
      <c r="C15" t="s">
        <v>675</v>
      </c>
      <c r="D15" s="105"/>
    </row>
    <row r="16" spans="1:5" ht="19" x14ac:dyDescent="0.2">
      <c r="A16" s="66">
        <v>13</v>
      </c>
      <c r="B16" s="62" t="s">
        <v>227</v>
      </c>
      <c r="C16" t="s">
        <v>676</v>
      </c>
      <c r="D16" s="122"/>
    </row>
    <row r="17" spans="1:5" x14ac:dyDescent="0.2">
      <c r="A17" s="66">
        <v>14</v>
      </c>
      <c r="B17" s="62" t="s">
        <v>229</v>
      </c>
      <c r="C17" t="s">
        <v>677</v>
      </c>
      <c r="D17" s="86"/>
    </row>
    <row r="18" spans="1:5" ht="19" x14ac:dyDescent="0.2">
      <c r="A18" s="66">
        <v>15</v>
      </c>
      <c r="B18" s="62" t="s">
        <v>231</v>
      </c>
      <c r="C18" t="s">
        <v>675</v>
      </c>
      <c r="D18" s="122"/>
    </row>
    <row r="19" spans="1:5" x14ac:dyDescent="0.2">
      <c r="A19" s="66">
        <v>16</v>
      </c>
      <c r="B19" s="62" t="s">
        <v>233</v>
      </c>
      <c r="C19" t="s">
        <v>678</v>
      </c>
      <c r="D19" s="86"/>
    </row>
    <row r="20" spans="1:5" ht="18" x14ac:dyDescent="0.2">
      <c r="A20" s="66">
        <v>17</v>
      </c>
      <c r="B20" s="62" t="s">
        <v>234</v>
      </c>
      <c r="C20" s="70" t="s">
        <v>679</v>
      </c>
      <c r="D20" s="121"/>
      <c r="E20" s="123"/>
    </row>
    <row r="21" spans="1:5" x14ac:dyDescent="0.2">
      <c r="A21" s="66">
        <v>18</v>
      </c>
      <c r="B21" s="62" t="s">
        <v>236</v>
      </c>
      <c r="C21" t="s">
        <v>681</v>
      </c>
      <c r="D21" s="121"/>
      <c r="E21" s="124"/>
    </row>
    <row r="22" spans="1:5" x14ac:dyDescent="0.2">
      <c r="A22" s="66">
        <v>19</v>
      </c>
      <c r="B22" s="62" t="s">
        <v>257</v>
      </c>
      <c r="C22" s="70" t="s">
        <v>680</v>
      </c>
      <c r="D22" s="121"/>
      <c r="E22" s="125"/>
    </row>
    <row r="23" spans="1:5" ht="19" x14ac:dyDescent="0.2">
      <c r="A23" s="64"/>
      <c r="B23" s="65" t="s">
        <v>238</v>
      </c>
      <c r="C23" s="64"/>
      <c r="D23" s="64"/>
      <c r="E23" s="124"/>
    </row>
    <row r="24" spans="1:5" ht="19" x14ac:dyDescent="0.2">
      <c r="A24" s="66">
        <v>20</v>
      </c>
      <c r="B24" s="62" t="s">
        <v>239</v>
      </c>
      <c r="C24" t="s">
        <v>682</v>
      </c>
      <c r="D24" s="122"/>
      <c r="E24" s="124"/>
    </row>
    <row r="25" spans="1:5" ht="18" x14ac:dyDescent="0.2">
      <c r="A25" s="66">
        <v>21</v>
      </c>
      <c r="B25" s="62" t="s">
        <v>241</v>
      </c>
      <c r="C25" t="s">
        <v>683</v>
      </c>
      <c r="D25" s="86"/>
      <c r="E25" s="123"/>
    </row>
    <row r="26" spans="1:5" x14ac:dyDescent="0.2">
      <c r="A26" s="66">
        <v>22</v>
      </c>
      <c r="B26" s="62" t="s">
        <v>243</v>
      </c>
      <c r="C26" t="s">
        <v>685</v>
      </c>
      <c r="D26" s="121"/>
      <c r="E26" s="124"/>
    </row>
    <row r="27" spans="1:5" x14ac:dyDescent="0.2">
      <c r="A27" s="66">
        <v>23</v>
      </c>
      <c r="B27" s="62" t="s">
        <v>245</v>
      </c>
      <c r="C27" t="s">
        <v>684</v>
      </c>
      <c r="D27" s="105"/>
    </row>
    <row r="28" spans="1:5" ht="19" x14ac:dyDescent="0.2">
      <c r="A28" s="64"/>
      <c r="B28" s="65" t="s">
        <v>246</v>
      </c>
      <c r="C28" s="64"/>
      <c r="D28" s="65"/>
    </row>
    <row r="29" spans="1:5" ht="19" x14ac:dyDescent="0.2">
      <c r="A29" s="66">
        <v>24</v>
      </c>
      <c r="B29" s="62" t="s">
        <v>247</v>
      </c>
      <c r="C29" t="s">
        <v>686</v>
      </c>
      <c r="D29" s="122"/>
    </row>
    <row r="30" spans="1:5" x14ac:dyDescent="0.2">
      <c r="A30" s="66">
        <v>25</v>
      </c>
      <c r="B30" s="62" t="s">
        <v>249</v>
      </c>
      <c r="C30" t="s">
        <v>687</v>
      </c>
      <c r="D30" s="86"/>
    </row>
    <row r="31" spans="1:5" x14ac:dyDescent="0.2">
      <c r="A31" s="66">
        <v>26</v>
      </c>
      <c r="B31" s="62" t="s">
        <v>251</v>
      </c>
      <c r="C31" t="s">
        <v>688</v>
      </c>
      <c r="D31" s="121"/>
    </row>
    <row r="32" spans="1:5" x14ac:dyDescent="0.2">
      <c r="A32" s="66">
        <v>27</v>
      </c>
      <c r="B32" s="62" t="s">
        <v>258</v>
      </c>
      <c r="C32" t="s">
        <v>689</v>
      </c>
      <c r="D32" s="105"/>
    </row>
    <row r="33" spans="1:4" ht="19" x14ac:dyDescent="0.2">
      <c r="A33" s="66">
        <v>28</v>
      </c>
      <c r="B33" s="62" t="s">
        <v>253</v>
      </c>
      <c r="C33" t="s">
        <v>690</v>
      </c>
      <c r="D33" s="122"/>
    </row>
    <row r="34" spans="1:4" x14ac:dyDescent="0.2">
      <c r="A34" s="64"/>
      <c r="B34" s="93" t="s">
        <v>644</v>
      </c>
      <c r="C34" s="64"/>
      <c r="D34" s="85"/>
    </row>
    <row r="35" spans="1:4" x14ac:dyDescent="0.2">
      <c r="A35" s="66">
        <v>29</v>
      </c>
      <c r="B35" s="62" t="s">
        <v>259</v>
      </c>
      <c r="C35" t="s">
        <v>691</v>
      </c>
      <c r="D35" s="105"/>
    </row>
    <row r="36" spans="1:4" x14ac:dyDescent="0.2">
      <c r="A36" s="66">
        <v>30</v>
      </c>
      <c r="B36" s="62" t="s">
        <v>645</v>
      </c>
      <c r="C36" t="s">
        <v>692</v>
      </c>
      <c r="D36" s="105"/>
    </row>
    <row r="37" spans="1:4" x14ac:dyDescent="0.2">
      <c r="A37" s="66">
        <v>31</v>
      </c>
      <c r="B37" s="62" t="s">
        <v>260</v>
      </c>
      <c r="C37" t="s">
        <v>694</v>
      </c>
      <c r="D37" s="105"/>
    </row>
    <row r="38" spans="1:4" x14ac:dyDescent="0.2">
      <c r="A38" s="66">
        <v>32</v>
      </c>
      <c r="B38" s="62" t="s">
        <v>261</v>
      </c>
      <c r="C38" t="s">
        <v>695</v>
      </c>
      <c r="D38" s="105"/>
    </row>
    <row r="39" spans="1:4" x14ac:dyDescent="0.2">
      <c r="A39" s="66">
        <v>33</v>
      </c>
      <c r="B39" s="62" t="s">
        <v>262</v>
      </c>
      <c r="C39" t="s">
        <v>693</v>
      </c>
      <c r="D39" s="105"/>
    </row>
    <row r="40" spans="1:4" x14ac:dyDescent="0.2">
      <c r="A40" s="66">
        <v>34</v>
      </c>
      <c r="B40" s="62" t="s">
        <v>263</v>
      </c>
      <c r="C40" t="s">
        <v>696</v>
      </c>
      <c r="D40" s="105"/>
    </row>
    <row r="41" spans="1:4" x14ac:dyDescent="0.2">
      <c r="A41" s="66">
        <v>35</v>
      </c>
      <c r="B41" s="62" t="s">
        <v>264</v>
      </c>
      <c r="C41" t="s">
        <v>697</v>
      </c>
      <c r="D41" s="105"/>
    </row>
    <row r="42" spans="1:4" ht="19" x14ac:dyDescent="0.2">
      <c r="A42" s="64"/>
      <c r="B42" s="65" t="s">
        <v>646</v>
      </c>
      <c r="C42" s="64"/>
      <c r="D42" s="64"/>
    </row>
    <row r="43" spans="1:4" x14ac:dyDescent="0.2">
      <c r="A43" s="62"/>
      <c r="B43" s="62"/>
      <c r="D43" s="63"/>
    </row>
    <row r="44" spans="1:4" ht="6" customHeight="1" x14ac:dyDescent="0.2">
      <c r="A44" s="118"/>
      <c r="B44" s="118"/>
      <c r="C44" s="118"/>
      <c r="D44" s="118"/>
    </row>
    <row r="45" spans="1:4" ht="19" x14ac:dyDescent="0.2">
      <c r="D45" s="61"/>
    </row>
    <row r="46" spans="1:4" ht="19" x14ac:dyDescent="0.2">
      <c r="A46" s="61"/>
      <c r="B46" s="61"/>
      <c r="D46" s="62"/>
    </row>
    <row r="47" spans="1:4" x14ac:dyDescent="0.2">
      <c r="D47" s="63"/>
    </row>
    <row r="49" spans="4:4" ht="19" x14ac:dyDescent="0.2">
      <c r="D49" s="61"/>
    </row>
    <row r="50" spans="4:4" x14ac:dyDescent="0.2">
      <c r="D50" s="62"/>
    </row>
    <row r="51" spans="4:4" x14ac:dyDescent="0.2">
      <c r="D51" s="63"/>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13551B-050B-4D34-AFFE-6752F2C06E85}">
  <sheetPr>
    <tabColor theme="9" tint="0.59999389629810485"/>
  </sheetPr>
  <dimension ref="A1:AE45"/>
  <sheetViews>
    <sheetView zoomScaleNormal="100" workbookViewId="0">
      <pane xSplit="1" ySplit="1" topLeftCell="B6" activePane="bottomRight" state="frozen"/>
      <selection pane="topRight" activeCell="B1" sqref="B1"/>
      <selection pane="bottomLeft" activeCell="A2" sqref="A2"/>
      <selection pane="bottomRight" activeCell="C8" sqref="C8"/>
    </sheetView>
  </sheetViews>
  <sheetFormatPr baseColWidth="10" defaultColWidth="11" defaultRowHeight="16" x14ac:dyDescent="0.2"/>
  <cols>
    <col min="1" max="1" width="59.33203125" customWidth="1"/>
    <col min="2" max="2" width="8.33203125" customWidth="1"/>
    <col min="3" max="3" width="82.1640625" customWidth="1"/>
    <col min="8" max="8" width="15.1640625" customWidth="1"/>
    <col min="11" max="11" width="14.33203125" customWidth="1"/>
    <col min="13" max="13" width="34.6640625" customWidth="1"/>
  </cols>
  <sheetData>
    <row r="1" spans="1:31" ht="160" x14ac:dyDescent="0.2">
      <c r="A1" s="97" t="s">
        <v>712</v>
      </c>
      <c r="B1" s="97" t="s">
        <v>593</v>
      </c>
      <c r="C1" s="97" t="s">
        <v>52</v>
      </c>
      <c r="D1" s="98" t="s">
        <v>123</v>
      </c>
      <c r="E1" s="99" t="s">
        <v>124</v>
      </c>
      <c r="F1" s="99" t="s">
        <v>20</v>
      </c>
      <c r="G1" s="98" t="s">
        <v>125</v>
      </c>
      <c r="H1" s="99" t="s">
        <v>126</v>
      </c>
      <c r="I1" s="99" t="s">
        <v>127</v>
      </c>
      <c r="J1" s="98" t="s">
        <v>128</v>
      </c>
      <c r="K1" s="99" t="s">
        <v>129</v>
      </c>
      <c r="L1" s="98" t="s">
        <v>130</v>
      </c>
      <c r="M1" s="98" t="s">
        <v>131</v>
      </c>
      <c r="N1" s="70"/>
      <c r="O1" s="100"/>
      <c r="P1" s="100"/>
      <c r="Q1" s="100"/>
      <c r="R1" s="79"/>
      <c r="S1" s="74"/>
      <c r="T1" s="74"/>
      <c r="U1" s="74"/>
      <c r="V1" s="74"/>
      <c r="W1" s="74"/>
    </row>
    <row r="2" spans="1:31" ht="19" x14ac:dyDescent="0.25">
      <c r="A2" s="65" t="s">
        <v>706</v>
      </c>
      <c r="B2" s="77"/>
      <c r="C2" s="131"/>
      <c r="D2" s="132"/>
      <c r="E2" s="132"/>
      <c r="F2" s="132"/>
      <c r="G2" s="132"/>
      <c r="H2" s="132"/>
      <c r="I2" s="132"/>
      <c r="J2" s="132"/>
      <c r="K2" s="132"/>
      <c r="L2" s="132"/>
      <c r="M2" s="132"/>
      <c r="N2" s="70"/>
      <c r="O2" s="100"/>
      <c r="P2" s="100"/>
      <c r="Q2" s="100"/>
      <c r="R2" s="79"/>
      <c r="S2" s="74"/>
      <c r="T2" s="74"/>
      <c r="U2" s="74"/>
      <c r="V2" s="74"/>
      <c r="W2" s="74"/>
    </row>
    <row r="3" spans="1:31" ht="19" x14ac:dyDescent="0.2">
      <c r="A3" s="62" t="s">
        <v>313</v>
      </c>
      <c r="B3" s="62">
        <v>1</v>
      </c>
      <c r="C3" t="s">
        <v>709</v>
      </c>
      <c r="D3" s="62" t="s">
        <v>268</v>
      </c>
      <c r="E3" s="105"/>
      <c r="F3" s="105"/>
      <c r="G3" s="62" t="s">
        <v>710</v>
      </c>
      <c r="H3" s="105"/>
      <c r="I3" s="180">
        <v>0</v>
      </c>
      <c r="J3" s="62" t="s">
        <v>139</v>
      </c>
      <c r="K3" s="86"/>
      <c r="L3" s="62" t="s">
        <v>711</v>
      </c>
      <c r="M3" s="62" t="s">
        <v>141</v>
      </c>
      <c r="N3" s="70"/>
      <c r="O3" s="100"/>
      <c r="P3" s="100"/>
      <c r="Q3" s="100"/>
      <c r="R3" s="79"/>
      <c r="S3" s="74"/>
      <c r="T3" s="74"/>
      <c r="U3" s="74"/>
      <c r="V3" s="74"/>
      <c r="W3" s="74"/>
    </row>
    <row r="4" spans="1:31" ht="19" x14ac:dyDescent="0.2">
      <c r="A4" s="62" t="s">
        <v>698</v>
      </c>
      <c r="B4" s="62">
        <v>2</v>
      </c>
      <c r="C4" s="62" t="s">
        <v>699</v>
      </c>
      <c r="D4" s="62" t="s">
        <v>144</v>
      </c>
      <c r="E4" s="105"/>
      <c r="F4" s="105"/>
      <c r="G4" s="62" t="s">
        <v>137</v>
      </c>
      <c r="H4" s="105"/>
      <c r="I4" s="180">
        <v>0</v>
      </c>
      <c r="J4" s="62" t="s">
        <v>139</v>
      </c>
      <c r="K4" s="86"/>
      <c r="L4" s="62" t="s">
        <v>711</v>
      </c>
      <c r="M4" s="62" t="s">
        <v>141</v>
      </c>
      <c r="N4" s="70"/>
      <c r="O4" s="100"/>
      <c r="P4" s="100"/>
      <c r="Q4" s="100"/>
      <c r="R4" s="79"/>
      <c r="S4" s="74"/>
      <c r="T4" s="74"/>
      <c r="U4" s="74"/>
      <c r="V4" s="74"/>
      <c r="W4" s="74"/>
    </row>
    <row r="5" spans="1:31" ht="19" x14ac:dyDescent="0.2">
      <c r="A5" s="62" t="s">
        <v>700</v>
      </c>
      <c r="B5" s="62">
        <v>3</v>
      </c>
      <c r="C5" s="62" t="s">
        <v>701</v>
      </c>
      <c r="D5" s="62" t="s">
        <v>268</v>
      </c>
      <c r="E5" s="105"/>
      <c r="F5" s="105"/>
      <c r="G5" s="62" t="s">
        <v>710</v>
      </c>
      <c r="H5" s="105"/>
      <c r="I5" s="180">
        <v>0</v>
      </c>
      <c r="J5" s="62" t="s">
        <v>139</v>
      </c>
      <c r="K5" s="86"/>
      <c r="L5" s="62" t="s">
        <v>711</v>
      </c>
      <c r="M5" s="62" t="s">
        <v>270</v>
      </c>
      <c r="N5" s="70"/>
      <c r="O5" s="100"/>
      <c r="P5" s="100"/>
      <c r="Q5" s="100"/>
      <c r="R5" s="79"/>
      <c r="S5" s="74"/>
      <c r="T5" s="74"/>
      <c r="U5" s="74"/>
      <c r="V5" s="74"/>
      <c r="W5" s="74"/>
    </row>
    <row r="6" spans="1:31" ht="19" x14ac:dyDescent="0.2">
      <c r="A6" t="s">
        <v>707</v>
      </c>
      <c r="B6" s="62">
        <v>5</v>
      </c>
      <c r="C6" t="s">
        <v>708</v>
      </c>
      <c r="D6" s="62" t="s">
        <v>268</v>
      </c>
      <c r="E6" s="105"/>
      <c r="F6" s="105"/>
      <c r="G6" s="62" t="s">
        <v>710</v>
      </c>
      <c r="H6" s="105"/>
      <c r="I6" s="180">
        <v>0</v>
      </c>
      <c r="J6" s="62" t="s">
        <v>139</v>
      </c>
      <c r="K6" s="86"/>
      <c r="L6" s="62" t="s">
        <v>711</v>
      </c>
      <c r="M6" s="62" t="s">
        <v>270</v>
      </c>
      <c r="N6" s="70"/>
      <c r="O6" s="100"/>
      <c r="P6" s="100"/>
      <c r="Q6" s="100"/>
      <c r="R6" s="79"/>
      <c r="S6" s="74"/>
      <c r="T6" s="74"/>
      <c r="U6" s="74"/>
      <c r="V6" s="74"/>
      <c r="W6" s="74"/>
    </row>
    <row r="7" spans="1:31" ht="19" x14ac:dyDescent="0.2">
      <c r="A7" s="62" t="s">
        <v>704</v>
      </c>
      <c r="B7" s="62">
        <v>6</v>
      </c>
      <c r="C7" s="62" t="s">
        <v>705</v>
      </c>
      <c r="D7" s="62" t="s">
        <v>144</v>
      </c>
      <c r="E7" s="105"/>
      <c r="F7" s="105"/>
      <c r="G7" s="62" t="s">
        <v>137</v>
      </c>
      <c r="H7" s="105"/>
      <c r="I7" s="180">
        <v>0</v>
      </c>
      <c r="J7" s="62" t="s">
        <v>139</v>
      </c>
      <c r="K7" s="86"/>
      <c r="L7" s="62" t="s">
        <v>711</v>
      </c>
      <c r="M7" s="62" t="s">
        <v>141</v>
      </c>
      <c r="N7" s="70"/>
      <c r="O7" s="100"/>
      <c r="P7" s="100"/>
      <c r="Q7" s="100"/>
      <c r="R7" s="79"/>
      <c r="S7" s="74"/>
      <c r="T7" s="74"/>
      <c r="U7" s="74"/>
      <c r="V7" s="74"/>
      <c r="W7" s="74"/>
    </row>
    <row r="8" spans="1:31" ht="18.5" customHeight="1" x14ac:dyDescent="0.25">
      <c r="A8" s="80" t="s">
        <v>265</v>
      </c>
      <c r="B8" s="81"/>
      <c r="C8" s="81"/>
      <c r="D8" s="81"/>
      <c r="E8" s="77"/>
      <c r="F8" s="77"/>
      <c r="G8" s="77"/>
      <c r="H8" s="64"/>
      <c r="I8" s="77"/>
      <c r="J8" s="77"/>
      <c r="K8" s="77"/>
      <c r="L8" s="77"/>
      <c r="M8" s="82"/>
      <c r="N8" s="44"/>
      <c r="O8" s="44"/>
      <c r="P8" s="44"/>
      <c r="Q8" s="44"/>
      <c r="R8" s="44"/>
    </row>
    <row r="9" spans="1:31" x14ac:dyDescent="0.2">
      <c r="A9" s="62" t="s">
        <v>266</v>
      </c>
      <c r="B9" s="62">
        <v>7</v>
      </c>
      <c r="C9" s="62" t="s">
        <v>267</v>
      </c>
      <c r="D9" s="62" t="s">
        <v>268</v>
      </c>
      <c r="E9" s="105"/>
      <c r="F9" s="105"/>
      <c r="G9" s="62" t="s">
        <v>137</v>
      </c>
      <c r="H9" s="105"/>
      <c r="I9" s="180">
        <v>0</v>
      </c>
      <c r="J9" s="62" t="s">
        <v>144</v>
      </c>
      <c r="K9" s="86"/>
      <c r="L9" s="62" t="s">
        <v>269</v>
      </c>
      <c r="M9" s="62" t="s">
        <v>270</v>
      </c>
      <c r="N9" s="62"/>
      <c r="O9" s="62"/>
      <c r="P9" s="62"/>
      <c r="Q9" s="62"/>
      <c r="R9" s="62"/>
      <c r="S9" s="62"/>
      <c r="T9" s="62"/>
      <c r="U9" s="62"/>
      <c r="V9" s="62"/>
      <c r="W9" s="62"/>
      <c r="X9" s="62"/>
      <c r="Y9" s="62"/>
      <c r="Z9" s="62"/>
      <c r="AA9" s="62"/>
      <c r="AB9" s="62"/>
      <c r="AC9" s="62"/>
      <c r="AD9" s="62"/>
      <c r="AE9" s="62"/>
    </row>
    <row r="10" spans="1:31" x14ac:dyDescent="0.2">
      <c r="A10" s="62" t="s">
        <v>271</v>
      </c>
      <c r="B10" s="62">
        <v>8</v>
      </c>
      <c r="C10" s="62" t="s">
        <v>272</v>
      </c>
      <c r="D10" s="62" t="s">
        <v>268</v>
      </c>
      <c r="E10" s="105"/>
      <c r="F10" s="105"/>
      <c r="G10" s="62" t="s">
        <v>273</v>
      </c>
      <c r="H10" s="105"/>
      <c r="I10" s="180">
        <v>0</v>
      </c>
      <c r="J10" s="62" t="s">
        <v>147</v>
      </c>
      <c r="K10" s="86"/>
      <c r="L10" s="62" t="s">
        <v>140</v>
      </c>
      <c r="M10" s="62" t="s">
        <v>181</v>
      </c>
      <c r="N10" s="62"/>
      <c r="O10" s="62"/>
      <c r="P10" s="62"/>
      <c r="Q10" s="62"/>
      <c r="R10" s="62"/>
      <c r="S10" s="62"/>
      <c r="T10" s="62"/>
      <c r="U10" s="62"/>
      <c r="V10" s="62"/>
      <c r="W10" s="62"/>
      <c r="X10" s="62"/>
      <c r="Y10" s="62"/>
      <c r="Z10" s="62"/>
      <c r="AA10" s="62"/>
      <c r="AB10" s="62"/>
      <c r="AC10" s="62"/>
      <c r="AD10" s="62"/>
      <c r="AE10" s="62"/>
    </row>
    <row r="11" spans="1:31" x14ac:dyDescent="0.2">
      <c r="A11" s="62" t="s">
        <v>274</v>
      </c>
      <c r="B11" s="62">
        <v>9</v>
      </c>
      <c r="C11" s="62" t="s">
        <v>275</v>
      </c>
      <c r="D11" s="62" t="s">
        <v>268</v>
      </c>
      <c r="E11" s="105"/>
      <c r="F11" s="105"/>
      <c r="G11" s="62" t="s">
        <v>273</v>
      </c>
      <c r="H11" s="105"/>
      <c r="I11" s="180">
        <v>0</v>
      </c>
      <c r="J11" s="62" t="s">
        <v>144</v>
      </c>
      <c r="K11" s="86"/>
      <c r="L11" s="62" t="s">
        <v>140</v>
      </c>
      <c r="M11" s="62" t="s">
        <v>141</v>
      </c>
      <c r="N11" s="62"/>
      <c r="O11" s="62"/>
      <c r="P11" s="62"/>
      <c r="Q11" s="62"/>
      <c r="R11" s="62"/>
      <c r="S11" s="62"/>
      <c r="T11" s="62"/>
      <c r="U11" s="62"/>
      <c r="V11" s="62"/>
      <c r="W11" s="62"/>
      <c r="X11" s="62"/>
      <c r="Y11" s="62"/>
      <c r="Z11" s="62"/>
      <c r="AA11" s="62"/>
      <c r="AB11" s="62"/>
      <c r="AC11" s="62"/>
      <c r="AD11" s="62"/>
      <c r="AE11" s="62"/>
    </row>
    <row r="12" spans="1:31" x14ac:dyDescent="0.2">
      <c r="A12" s="62" t="s">
        <v>276</v>
      </c>
      <c r="B12" s="62">
        <v>10</v>
      </c>
      <c r="C12" s="62" t="s">
        <v>277</v>
      </c>
      <c r="D12" s="62" t="s">
        <v>268</v>
      </c>
      <c r="E12" s="105"/>
      <c r="F12" s="105"/>
      <c r="G12" s="62" t="s">
        <v>278</v>
      </c>
      <c r="H12" s="105"/>
      <c r="I12" s="180">
        <v>0</v>
      </c>
      <c r="J12" s="62" t="s">
        <v>144</v>
      </c>
      <c r="K12" s="86"/>
      <c r="L12" s="62" t="s">
        <v>140</v>
      </c>
      <c r="M12" s="62" t="s">
        <v>181</v>
      </c>
    </row>
    <row r="13" spans="1:31" x14ac:dyDescent="0.2">
      <c r="A13" s="62" t="s">
        <v>279</v>
      </c>
      <c r="B13" s="62">
        <v>11</v>
      </c>
      <c r="C13" s="62" t="s">
        <v>280</v>
      </c>
      <c r="D13" s="62" t="s">
        <v>144</v>
      </c>
      <c r="E13" s="105"/>
      <c r="F13" s="105"/>
      <c r="G13" s="62" t="s">
        <v>278</v>
      </c>
      <c r="H13" s="105"/>
      <c r="I13" s="180">
        <v>0</v>
      </c>
      <c r="J13" s="62" t="s">
        <v>139</v>
      </c>
      <c r="K13" s="86"/>
      <c r="L13" s="62" t="s">
        <v>140</v>
      </c>
      <c r="M13" s="62" t="s">
        <v>181</v>
      </c>
      <c r="N13" s="62"/>
      <c r="O13" s="62"/>
    </row>
    <row r="14" spans="1:31" x14ac:dyDescent="0.2">
      <c r="A14" s="62" t="s">
        <v>281</v>
      </c>
      <c r="B14" s="62">
        <v>12</v>
      </c>
      <c r="C14" s="62" t="s">
        <v>282</v>
      </c>
      <c r="D14" s="62" t="s">
        <v>268</v>
      </c>
      <c r="E14" s="105"/>
      <c r="F14" s="105"/>
      <c r="G14" s="62" t="s">
        <v>137</v>
      </c>
      <c r="H14" s="105"/>
      <c r="I14" s="180">
        <v>0</v>
      </c>
      <c r="J14" s="62" t="s">
        <v>144</v>
      </c>
      <c r="K14" s="86"/>
      <c r="L14" s="62" t="s">
        <v>269</v>
      </c>
      <c r="M14" s="62" t="s">
        <v>270</v>
      </c>
      <c r="N14" s="62"/>
      <c r="O14" s="62"/>
    </row>
    <row r="15" spans="1:31" x14ac:dyDescent="0.2">
      <c r="A15" s="62" t="s">
        <v>283</v>
      </c>
      <c r="B15" s="62">
        <v>13</v>
      </c>
      <c r="C15" s="62" t="s">
        <v>284</v>
      </c>
      <c r="D15" s="62" t="s">
        <v>159</v>
      </c>
      <c r="E15" s="105"/>
      <c r="F15" s="105"/>
      <c r="G15" s="62" t="s">
        <v>278</v>
      </c>
      <c r="H15" s="105"/>
      <c r="I15" s="180">
        <v>0</v>
      </c>
      <c r="J15" s="62" t="s">
        <v>144</v>
      </c>
      <c r="K15" s="86"/>
      <c r="L15" s="62" t="s">
        <v>140</v>
      </c>
      <c r="M15" s="62" t="s">
        <v>181</v>
      </c>
      <c r="N15" s="62"/>
      <c r="O15" s="62"/>
    </row>
    <row r="16" spans="1:31" x14ac:dyDescent="0.2">
      <c r="A16" s="62" t="s">
        <v>285</v>
      </c>
      <c r="B16" s="62">
        <v>14</v>
      </c>
      <c r="C16" s="62" t="s">
        <v>286</v>
      </c>
      <c r="D16" s="62" t="s">
        <v>144</v>
      </c>
      <c r="E16" s="105"/>
      <c r="F16" s="105"/>
      <c r="G16" s="62" t="s">
        <v>273</v>
      </c>
      <c r="H16" s="105"/>
      <c r="I16" s="180">
        <v>0</v>
      </c>
      <c r="J16" s="62" t="s">
        <v>268</v>
      </c>
      <c r="K16" s="86"/>
      <c r="L16" s="62" t="s">
        <v>140</v>
      </c>
      <c r="M16" s="62" t="s">
        <v>181</v>
      </c>
      <c r="N16" s="62"/>
    </row>
    <row r="17" spans="1:29" ht="19" x14ac:dyDescent="0.2">
      <c r="A17" s="65" t="s">
        <v>287</v>
      </c>
      <c r="B17" s="85"/>
      <c r="C17" s="64"/>
      <c r="D17" s="64"/>
      <c r="E17" s="64"/>
      <c r="F17" s="64"/>
      <c r="G17" s="64"/>
      <c r="H17" s="64"/>
      <c r="I17" s="64"/>
      <c r="J17" s="64"/>
      <c r="K17" s="64"/>
      <c r="L17" s="64"/>
      <c r="M17" s="64"/>
    </row>
    <row r="18" spans="1:29" x14ac:dyDescent="0.2">
      <c r="A18" s="62" t="s">
        <v>288</v>
      </c>
      <c r="B18" s="62">
        <v>15</v>
      </c>
      <c r="C18" s="62" t="s">
        <v>289</v>
      </c>
      <c r="D18" s="62" t="s">
        <v>268</v>
      </c>
      <c r="E18" s="105"/>
      <c r="F18" s="105"/>
      <c r="G18" s="62" t="s">
        <v>278</v>
      </c>
      <c r="H18" s="105"/>
      <c r="I18" s="180">
        <v>0</v>
      </c>
      <c r="J18" s="62" t="s">
        <v>144</v>
      </c>
      <c r="K18" s="86"/>
      <c r="L18" s="62" t="s">
        <v>140</v>
      </c>
      <c r="M18" s="62" t="s">
        <v>181</v>
      </c>
      <c r="N18" s="62"/>
      <c r="O18" s="62"/>
      <c r="P18" s="62"/>
      <c r="Q18" s="62"/>
      <c r="R18" s="62"/>
      <c r="S18" s="62"/>
      <c r="T18" s="62"/>
      <c r="U18" s="62"/>
      <c r="V18" s="62"/>
      <c r="W18" s="62"/>
      <c r="X18" s="62"/>
      <c r="Y18" s="62"/>
      <c r="Z18" s="62"/>
      <c r="AA18" s="62"/>
      <c r="AB18" s="62"/>
      <c r="AC18" s="62"/>
    </row>
    <row r="19" spans="1:29" x14ac:dyDescent="0.2">
      <c r="A19" s="62" t="s">
        <v>290</v>
      </c>
      <c r="B19" s="62">
        <v>16</v>
      </c>
      <c r="C19" s="62" t="s">
        <v>291</v>
      </c>
      <c r="D19" s="62" t="s">
        <v>144</v>
      </c>
      <c r="E19" s="105"/>
      <c r="F19" s="105"/>
      <c r="G19" s="62" t="s">
        <v>278</v>
      </c>
      <c r="H19" s="105"/>
      <c r="I19" s="180">
        <v>0</v>
      </c>
      <c r="J19" s="62" t="s">
        <v>139</v>
      </c>
      <c r="K19" s="86"/>
      <c r="L19" s="62" t="s">
        <v>140</v>
      </c>
      <c r="M19" s="62" t="s">
        <v>181</v>
      </c>
      <c r="N19" s="62"/>
      <c r="O19" s="62"/>
      <c r="P19" s="62"/>
      <c r="Q19" s="62"/>
      <c r="R19" s="62"/>
      <c r="S19" s="62"/>
      <c r="T19" s="62"/>
      <c r="U19" s="62"/>
      <c r="V19" s="62"/>
      <c r="W19" s="62"/>
      <c r="X19" s="62"/>
      <c r="Y19" s="62"/>
      <c r="Z19" s="62"/>
      <c r="AA19" s="62"/>
      <c r="AB19" s="62"/>
      <c r="AC19" s="62"/>
    </row>
    <row r="20" spans="1:29" x14ac:dyDescent="0.2">
      <c r="A20" s="62" t="s">
        <v>292</v>
      </c>
      <c r="B20" s="62">
        <v>17</v>
      </c>
      <c r="C20" s="62" t="s">
        <v>293</v>
      </c>
      <c r="D20" s="62" t="s">
        <v>268</v>
      </c>
      <c r="E20" s="105"/>
      <c r="F20" s="105"/>
      <c r="G20" s="62" t="s">
        <v>137</v>
      </c>
      <c r="H20" s="105"/>
      <c r="I20" s="180">
        <v>0</v>
      </c>
      <c r="J20" s="62" t="s">
        <v>144</v>
      </c>
      <c r="K20" s="86"/>
      <c r="L20" s="62" t="s">
        <v>269</v>
      </c>
      <c r="M20" s="62" t="s">
        <v>270</v>
      </c>
      <c r="N20" s="62"/>
      <c r="O20" s="62"/>
      <c r="P20" s="62"/>
      <c r="Q20" s="62"/>
      <c r="R20" s="62"/>
      <c r="S20" s="62"/>
      <c r="T20" s="62"/>
      <c r="U20" s="62"/>
      <c r="V20" s="62"/>
      <c r="W20" s="62"/>
      <c r="X20" s="62"/>
      <c r="Y20" s="62"/>
      <c r="Z20" s="62"/>
      <c r="AA20" s="62"/>
      <c r="AB20" s="62"/>
      <c r="AC20" s="62"/>
    </row>
    <row r="21" spans="1:29" x14ac:dyDescent="0.2">
      <c r="A21" s="62" t="s">
        <v>702</v>
      </c>
      <c r="B21" s="62">
        <v>18</v>
      </c>
      <c r="C21" s="62" t="s">
        <v>703</v>
      </c>
      <c r="D21" s="62" t="s">
        <v>144</v>
      </c>
      <c r="E21" s="105"/>
      <c r="F21" s="105"/>
      <c r="G21" s="62" t="s">
        <v>137</v>
      </c>
      <c r="H21" s="105"/>
      <c r="I21" s="180">
        <v>0</v>
      </c>
      <c r="J21" s="62" t="s">
        <v>144</v>
      </c>
      <c r="K21" s="86"/>
      <c r="L21" s="62" t="s">
        <v>140</v>
      </c>
      <c r="M21" s="62" t="s">
        <v>141</v>
      </c>
      <c r="N21" s="62"/>
      <c r="O21" s="62"/>
      <c r="P21" s="62"/>
      <c r="Q21" s="62"/>
      <c r="R21" s="62"/>
      <c r="S21" s="62"/>
      <c r="T21" s="62"/>
      <c r="U21" s="62"/>
      <c r="V21" s="62"/>
      <c r="W21" s="62"/>
      <c r="X21" s="62"/>
      <c r="Y21" s="62"/>
      <c r="Z21" s="62"/>
      <c r="AA21" s="62"/>
      <c r="AB21" s="62"/>
      <c r="AC21" s="62"/>
    </row>
    <row r="22" spans="1:29" ht="19" x14ac:dyDescent="0.2">
      <c r="A22" s="65" t="s">
        <v>294</v>
      </c>
      <c r="B22" s="85"/>
      <c r="C22" s="64"/>
      <c r="D22" s="64"/>
      <c r="E22" s="64"/>
      <c r="F22" s="64"/>
      <c r="G22" s="64"/>
      <c r="H22" s="64"/>
      <c r="I22" s="64"/>
      <c r="J22" s="64"/>
      <c r="K22" s="64"/>
      <c r="L22" s="64"/>
      <c r="M22" s="64"/>
    </row>
    <row r="23" spans="1:29" x14ac:dyDescent="0.2">
      <c r="A23" s="62" t="s">
        <v>295</v>
      </c>
      <c r="B23" s="62">
        <v>19</v>
      </c>
      <c r="C23" s="62" t="s">
        <v>296</v>
      </c>
      <c r="D23" s="62" t="s">
        <v>144</v>
      </c>
      <c r="E23" s="105"/>
      <c r="F23" s="105"/>
      <c r="G23" s="62" t="s">
        <v>273</v>
      </c>
      <c r="H23" s="105"/>
      <c r="I23" s="180">
        <v>0</v>
      </c>
      <c r="J23" s="62" t="s">
        <v>147</v>
      </c>
      <c r="K23" s="86"/>
      <c r="L23" s="62" t="s">
        <v>297</v>
      </c>
      <c r="M23" s="62" t="s">
        <v>181</v>
      </c>
      <c r="N23" s="62"/>
      <c r="O23" s="62"/>
      <c r="P23" s="62"/>
      <c r="Q23" s="62"/>
      <c r="R23" s="62"/>
      <c r="S23" s="62"/>
      <c r="T23" s="62"/>
      <c r="U23" s="62"/>
    </row>
    <row r="24" spans="1:29" x14ac:dyDescent="0.2">
      <c r="A24" s="62" t="s">
        <v>298</v>
      </c>
      <c r="B24" s="62">
        <v>20</v>
      </c>
      <c r="C24" s="62" t="s">
        <v>299</v>
      </c>
      <c r="D24" s="62" t="s">
        <v>268</v>
      </c>
      <c r="E24" s="105"/>
      <c r="F24" s="105"/>
      <c r="G24" s="62" t="s">
        <v>278</v>
      </c>
      <c r="H24" s="105"/>
      <c r="I24" s="180">
        <v>0</v>
      </c>
      <c r="J24" s="62" t="s">
        <v>144</v>
      </c>
      <c r="K24" s="86"/>
      <c r="L24" s="62" t="s">
        <v>140</v>
      </c>
      <c r="M24" s="62" t="s">
        <v>166</v>
      </c>
      <c r="N24" s="62"/>
      <c r="O24" s="62"/>
      <c r="P24" s="62"/>
      <c r="Q24" s="62"/>
      <c r="R24" s="62"/>
      <c r="S24" s="62"/>
      <c r="T24" s="62"/>
      <c r="U24" s="62"/>
    </row>
    <row r="25" spans="1:29" x14ac:dyDescent="0.2">
      <c r="A25" s="62" t="s">
        <v>300</v>
      </c>
      <c r="B25" s="62">
        <v>21</v>
      </c>
      <c r="C25" s="62" t="s">
        <v>301</v>
      </c>
      <c r="D25" s="62" t="s">
        <v>159</v>
      </c>
      <c r="E25" s="105"/>
      <c r="F25" s="105"/>
      <c r="G25" s="62" t="s">
        <v>137</v>
      </c>
      <c r="H25" s="105"/>
      <c r="I25" s="180">
        <v>0</v>
      </c>
      <c r="J25" s="62" t="s">
        <v>144</v>
      </c>
      <c r="K25" s="86"/>
      <c r="L25" s="62" t="s">
        <v>269</v>
      </c>
      <c r="M25" s="62" t="s">
        <v>270</v>
      </c>
      <c r="N25" s="62"/>
      <c r="O25" s="62"/>
      <c r="P25" s="62"/>
      <c r="Q25" s="62"/>
      <c r="R25" s="62"/>
      <c r="S25" s="62"/>
      <c r="T25" s="62"/>
      <c r="U25" s="62"/>
    </row>
    <row r="26" spans="1:29" x14ac:dyDescent="0.2">
      <c r="A26" s="62" t="s">
        <v>302</v>
      </c>
      <c r="B26" s="62">
        <v>22</v>
      </c>
      <c r="C26" s="62" t="s">
        <v>303</v>
      </c>
      <c r="D26" s="62" t="s">
        <v>268</v>
      </c>
      <c r="E26" s="105"/>
      <c r="F26" s="105"/>
      <c r="G26" s="62" t="s">
        <v>137</v>
      </c>
      <c r="H26" s="105"/>
      <c r="I26" s="180">
        <v>0</v>
      </c>
      <c r="J26" s="62" t="s">
        <v>144</v>
      </c>
      <c r="K26" s="86"/>
      <c r="L26" s="62" t="s">
        <v>269</v>
      </c>
      <c r="M26" s="62" t="s">
        <v>270</v>
      </c>
      <c r="N26" s="62"/>
      <c r="O26" s="62"/>
      <c r="P26" s="62"/>
      <c r="Q26" s="62"/>
      <c r="R26" s="62"/>
      <c r="S26" s="62"/>
      <c r="T26" s="62"/>
      <c r="U26" s="62"/>
    </row>
    <row r="27" spans="1:29" ht="19" x14ac:dyDescent="0.2">
      <c r="A27" s="65" t="s">
        <v>304</v>
      </c>
      <c r="B27" s="85"/>
      <c r="C27" s="64"/>
      <c r="D27" s="64"/>
      <c r="E27" s="64"/>
      <c r="F27" s="64"/>
      <c r="G27" s="64"/>
      <c r="H27" s="64"/>
      <c r="I27" s="64"/>
      <c r="J27" s="64"/>
      <c r="K27" s="64"/>
      <c r="L27" s="64"/>
      <c r="M27" s="64"/>
    </row>
    <row r="28" spans="1:29" s="107" customFormat="1" x14ac:dyDescent="0.2">
      <c r="A28" s="106" t="s">
        <v>305</v>
      </c>
      <c r="B28" s="106">
        <v>23</v>
      </c>
      <c r="C28" s="106" t="s">
        <v>306</v>
      </c>
      <c r="D28" s="107" t="s">
        <v>144</v>
      </c>
      <c r="E28" s="105"/>
      <c r="F28" s="105"/>
      <c r="G28" s="107" t="s">
        <v>137</v>
      </c>
      <c r="H28" s="105"/>
      <c r="I28" s="180">
        <v>0</v>
      </c>
      <c r="J28" s="107" t="s">
        <v>144</v>
      </c>
      <c r="K28" s="105"/>
      <c r="L28" s="62" t="s">
        <v>140</v>
      </c>
      <c r="M28" s="62" t="s">
        <v>141</v>
      </c>
    </row>
    <row r="29" spans="1:29" x14ac:dyDescent="0.2">
      <c r="A29" s="62" t="s">
        <v>307</v>
      </c>
      <c r="B29" s="62">
        <v>24</v>
      </c>
      <c r="C29" s="62" t="s">
        <v>308</v>
      </c>
      <c r="D29" s="62" t="s">
        <v>159</v>
      </c>
      <c r="E29" s="105"/>
      <c r="F29" s="105"/>
      <c r="G29" s="62" t="s">
        <v>137</v>
      </c>
      <c r="H29" s="105"/>
      <c r="I29" s="180">
        <v>0</v>
      </c>
      <c r="J29" s="62" t="s">
        <v>144</v>
      </c>
      <c r="K29" s="86"/>
      <c r="L29" s="62" t="s">
        <v>269</v>
      </c>
      <c r="M29" s="62" t="s">
        <v>270</v>
      </c>
      <c r="N29" s="62"/>
      <c r="O29" s="62"/>
      <c r="P29" s="62"/>
      <c r="Q29" s="62"/>
      <c r="R29" s="62"/>
      <c r="S29" s="62"/>
      <c r="T29" s="62"/>
      <c r="U29" s="62"/>
      <c r="V29" s="62"/>
      <c r="W29" s="62"/>
      <c r="X29" s="62"/>
      <c r="Y29" s="62"/>
    </row>
    <row r="30" spans="1:29" x14ac:dyDescent="0.2">
      <c r="A30" s="62" t="s">
        <v>309</v>
      </c>
      <c r="B30" s="62">
        <v>25</v>
      </c>
      <c r="C30" s="62" t="s">
        <v>310</v>
      </c>
      <c r="D30" s="62" t="s">
        <v>268</v>
      </c>
      <c r="E30" s="105"/>
      <c r="F30" s="105"/>
      <c r="G30" s="62" t="s">
        <v>137</v>
      </c>
      <c r="H30" s="105"/>
      <c r="I30" s="180">
        <v>0</v>
      </c>
      <c r="J30" s="62" t="s">
        <v>144</v>
      </c>
      <c r="K30" s="86"/>
      <c r="L30" s="62" t="s">
        <v>269</v>
      </c>
      <c r="M30" s="62" t="s">
        <v>270</v>
      </c>
      <c r="N30" s="62"/>
      <c r="O30" s="62"/>
      <c r="P30" s="62"/>
      <c r="Q30" s="62"/>
      <c r="R30" s="62"/>
      <c r="S30" s="62"/>
      <c r="T30" s="62"/>
      <c r="U30" s="62"/>
      <c r="V30" s="62"/>
      <c r="W30" s="62"/>
      <c r="X30" s="62"/>
      <c r="Y30" s="62"/>
    </row>
    <row r="31" spans="1:29" x14ac:dyDescent="0.2">
      <c r="A31" s="62" t="s">
        <v>311</v>
      </c>
      <c r="B31" s="62">
        <v>26</v>
      </c>
      <c r="C31" s="62" t="s">
        <v>312</v>
      </c>
      <c r="D31" s="62" t="s">
        <v>159</v>
      </c>
      <c r="E31" s="105"/>
      <c r="F31" s="105"/>
      <c r="G31" s="62" t="s">
        <v>137</v>
      </c>
      <c r="H31" s="105"/>
      <c r="I31" s="180">
        <v>0</v>
      </c>
      <c r="J31" s="62" t="s">
        <v>144</v>
      </c>
      <c r="K31" s="86"/>
      <c r="L31" s="62" t="s">
        <v>269</v>
      </c>
      <c r="M31" s="62" t="s">
        <v>270</v>
      </c>
      <c r="N31" s="62"/>
      <c r="O31" s="62"/>
      <c r="P31" s="62"/>
      <c r="Q31" s="62"/>
      <c r="R31" s="62"/>
      <c r="S31" s="62"/>
      <c r="T31" s="62"/>
      <c r="U31" s="62"/>
      <c r="V31" s="62"/>
      <c r="W31" s="62"/>
      <c r="X31" s="62"/>
      <c r="Y31" s="62"/>
    </row>
    <row r="32" spans="1:29" ht="19" x14ac:dyDescent="0.2">
      <c r="A32" s="65" t="s">
        <v>646</v>
      </c>
      <c r="B32" s="136"/>
      <c r="C32" s="64"/>
      <c r="D32" s="64"/>
      <c r="E32" s="64"/>
      <c r="F32" s="64"/>
      <c r="G32" s="64"/>
      <c r="H32" s="64"/>
      <c r="I32" s="85"/>
      <c r="J32" s="64"/>
      <c r="K32" s="64"/>
      <c r="L32" s="64"/>
      <c r="M32" s="64"/>
    </row>
    <row r="33" spans="1:13" x14ac:dyDescent="0.2">
      <c r="B33" s="66"/>
    </row>
    <row r="34" spans="1:13" ht="5" customHeight="1" x14ac:dyDescent="0.2">
      <c r="A34" s="135"/>
      <c r="B34" s="134"/>
      <c r="C34" s="118"/>
      <c r="D34" s="118"/>
      <c r="E34" s="118"/>
      <c r="F34" s="118"/>
      <c r="G34" s="118"/>
      <c r="H34" s="118"/>
      <c r="I34" s="118"/>
      <c r="J34" s="118"/>
      <c r="K34" s="118"/>
      <c r="L34" s="118"/>
      <c r="M34" s="118"/>
    </row>
    <row r="35" spans="1:13" x14ac:dyDescent="0.2">
      <c r="B35" s="133"/>
    </row>
    <row r="36" spans="1:13" ht="19" x14ac:dyDescent="0.2">
      <c r="A36" s="61"/>
      <c r="B36" s="70"/>
    </row>
    <row r="37" spans="1:13" x14ac:dyDescent="0.2">
      <c r="B37" s="70"/>
    </row>
    <row r="38" spans="1:13" x14ac:dyDescent="0.2">
      <c r="B38" s="70"/>
    </row>
    <row r="41" spans="1:13" x14ac:dyDescent="0.2">
      <c r="B41" s="63"/>
    </row>
    <row r="42" spans="1:13" x14ac:dyDescent="0.2">
      <c r="B42" s="63"/>
    </row>
    <row r="43" spans="1:13" x14ac:dyDescent="0.2">
      <c r="B43" s="63"/>
    </row>
    <row r="44" spans="1:13" x14ac:dyDescent="0.2">
      <c r="B44" s="63"/>
    </row>
    <row r="45" spans="1:13" x14ac:dyDescent="0.2">
      <c r="B45" s="63"/>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D86C220E-DB51-4BEA-B03A-2040652FCD9C}">
          <x14:formula1>
            <xm:f>' Parametros, no tocar'!$B$8:$B$11</xm:f>
          </x14:formula1>
          <xm:sqref>H3:H52</xm:sqref>
        </x14:dataValidation>
        <x14:dataValidation type="list" allowBlank="1" showInputMessage="1" showErrorMessage="1" xr:uid="{7C5BE181-9525-46AD-98D8-BA1CD2C61811}">
          <x14:formula1>
            <xm:f>' Parametros, no tocar'!$B$4:$B$5</xm:f>
          </x14:formula1>
          <xm:sqref>E28:E31 E9:E16 E18:E21 E23:E26 E3:E7</xm:sqref>
        </x14:dataValidation>
        <x14:dataValidation type="list" allowBlank="1" showInputMessage="1" showErrorMessage="1" xr:uid="{E4BC8A4C-55E4-444E-8778-77AE2CDE3D14}">
          <x14:formula1>
            <xm:f>' Parametros, no tocar'!$F$4:$F$10</xm:f>
          </x14:formula1>
          <xm:sqref>F28:F31 F9:F16 F18:F21 F23:F26 F3:F7</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AC995-69AC-4D76-B47E-3773F8873BE9}">
  <sheetPr>
    <tabColor theme="9" tint="0.59999389629810485"/>
  </sheetPr>
  <dimension ref="A1:D34"/>
  <sheetViews>
    <sheetView topLeftCell="B1" workbookViewId="0">
      <pane ySplit="1" topLeftCell="A2" activePane="bottomLeft" state="frozen"/>
      <selection activeCell="B1" sqref="B1"/>
      <selection pane="bottomLeft" activeCell="D3" sqref="D3:D7"/>
    </sheetView>
  </sheetViews>
  <sheetFormatPr baseColWidth="10" defaultRowHeight="16" x14ac:dyDescent="0.2"/>
  <cols>
    <col min="2" max="2" width="71.83203125" customWidth="1"/>
    <col min="3" max="3" width="195.83203125" customWidth="1"/>
    <col min="4" max="4" width="23" customWidth="1"/>
  </cols>
  <sheetData>
    <row r="1" spans="1:4" ht="19" x14ac:dyDescent="0.25">
      <c r="A1" s="42"/>
      <c r="B1" s="103" t="s">
        <v>712</v>
      </c>
      <c r="C1" s="103" t="s">
        <v>613</v>
      </c>
      <c r="D1" s="105" t="s">
        <v>204</v>
      </c>
    </row>
    <row r="2" spans="1:4" ht="19" x14ac:dyDescent="0.25">
      <c r="A2" s="101"/>
      <c r="B2" s="65" t="s">
        <v>706</v>
      </c>
      <c r="C2" s="64"/>
      <c r="D2" s="64"/>
    </row>
    <row r="3" spans="1:4" x14ac:dyDescent="0.2">
      <c r="A3" s="62">
        <v>1</v>
      </c>
      <c r="B3" s="62" t="s">
        <v>313</v>
      </c>
      <c r="C3" t="s">
        <v>748</v>
      </c>
      <c r="D3" s="105"/>
    </row>
    <row r="4" spans="1:4" x14ac:dyDescent="0.2">
      <c r="A4" s="62">
        <v>2</v>
      </c>
      <c r="B4" s="62" t="s">
        <v>698</v>
      </c>
      <c r="C4" t="s">
        <v>749</v>
      </c>
      <c r="D4" s="105"/>
    </row>
    <row r="5" spans="1:4" x14ac:dyDescent="0.2">
      <c r="A5" s="62">
        <v>3</v>
      </c>
      <c r="B5" s="62" t="s">
        <v>700</v>
      </c>
      <c r="C5" t="s">
        <v>750</v>
      </c>
      <c r="D5" s="105"/>
    </row>
    <row r="6" spans="1:4" x14ac:dyDescent="0.2">
      <c r="A6" s="62">
        <v>5</v>
      </c>
      <c r="B6" t="s">
        <v>707</v>
      </c>
      <c r="C6" t="s">
        <v>751</v>
      </c>
      <c r="D6" s="105"/>
    </row>
    <row r="7" spans="1:4" x14ac:dyDescent="0.2">
      <c r="A7" s="62">
        <v>6</v>
      </c>
      <c r="B7" s="62" t="s">
        <v>704</v>
      </c>
      <c r="C7" t="s">
        <v>752</v>
      </c>
      <c r="D7" s="105"/>
    </row>
    <row r="8" spans="1:4" ht="19" x14ac:dyDescent="0.2">
      <c r="B8" s="80" t="s">
        <v>265</v>
      </c>
      <c r="C8" s="64"/>
      <c r="D8" s="64"/>
    </row>
    <row r="9" spans="1:4" x14ac:dyDescent="0.2">
      <c r="A9" s="62">
        <v>7</v>
      </c>
      <c r="B9" s="62" t="s">
        <v>266</v>
      </c>
      <c r="C9" t="s">
        <v>314</v>
      </c>
      <c r="D9" s="105"/>
    </row>
    <row r="10" spans="1:4" x14ac:dyDescent="0.2">
      <c r="A10" s="62">
        <v>8</v>
      </c>
      <c r="B10" s="62" t="s">
        <v>271</v>
      </c>
      <c r="C10" t="s">
        <v>315</v>
      </c>
      <c r="D10" s="105"/>
    </row>
    <row r="11" spans="1:4" x14ac:dyDescent="0.2">
      <c r="A11" s="62">
        <v>9</v>
      </c>
      <c r="B11" s="62" t="s">
        <v>274</v>
      </c>
      <c r="C11" t="s">
        <v>316</v>
      </c>
      <c r="D11" s="105"/>
    </row>
    <row r="12" spans="1:4" x14ac:dyDescent="0.2">
      <c r="A12" s="62">
        <v>10</v>
      </c>
      <c r="B12" s="62" t="s">
        <v>276</v>
      </c>
      <c r="C12" t="s">
        <v>317</v>
      </c>
      <c r="D12" s="105"/>
    </row>
    <row r="13" spans="1:4" x14ac:dyDescent="0.2">
      <c r="A13" s="62">
        <v>11</v>
      </c>
      <c r="B13" s="62" t="s">
        <v>279</v>
      </c>
      <c r="C13" t="s">
        <v>318</v>
      </c>
      <c r="D13" s="105"/>
    </row>
    <row r="14" spans="1:4" x14ac:dyDescent="0.2">
      <c r="A14" s="62">
        <v>12</v>
      </c>
      <c r="B14" s="62" t="s">
        <v>281</v>
      </c>
      <c r="C14" t="s">
        <v>319</v>
      </c>
      <c r="D14" s="105"/>
    </row>
    <row r="15" spans="1:4" x14ac:dyDescent="0.2">
      <c r="A15" s="62">
        <v>13</v>
      </c>
      <c r="B15" s="62" t="s">
        <v>283</v>
      </c>
      <c r="C15" t="s">
        <v>320</v>
      </c>
      <c r="D15" s="105"/>
    </row>
    <row r="16" spans="1:4" x14ac:dyDescent="0.2">
      <c r="A16" s="62">
        <v>14</v>
      </c>
      <c r="B16" s="62" t="s">
        <v>285</v>
      </c>
      <c r="C16" t="s">
        <v>321</v>
      </c>
      <c r="D16" s="105"/>
    </row>
    <row r="17" spans="1:4" ht="19" x14ac:dyDescent="0.2">
      <c r="A17" s="62"/>
      <c r="B17" s="65" t="s">
        <v>287</v>
      </c>
      <c r="C17" s="64"/>
      <c r="D17" s="64"/>
    </row>
    <row r="18" spans="1:4" x14ac:dyDescent="0.2">
      <c r="A18" s="62">
        <v>15</v>
      </c>
      <c r="B18" s="62" t="s">
        <v>288</v>
      </c>
      <c r="C18" t="s">
        <v>318</v>
      </c>
      <c r="D18" s="105"/>
    </row>
    <row r="19" spans="1:4" x14ac:dyDescent="0.2">
      <c r="A19" s="62">
        <v>16</v>
      </c>
      <c r="B19" s="62" t="s">
        <v>290</v>
      </c>
      <c r="C19" t="s">
        <v>322</v>
      </c>
      <c r="D19" s="105"/>
    </row>
    <row r="20" spans="1:4" x14ac:dyDescent="0.2">
      <c r="A20" s="62">
        <v>17</v>
      </c>
      <c r="B20" s="62" t="s">
        <v>292</v>
      </c>
      <c r="C20" t="s">
        <v>321</v>
      </c>
      <c r="D20" s="105"/>
    </row>
    <row r="21" spans="1:4" x14ac:dyDescent="0.2">
      <c r="A21" s="62">
        <v>18</v>
      </c>
      <c r="B21" s="62" t="s">
        <v>702</v>
      </c>
      <c r="C21" t="s">
        <v>321</v>
      </c>
      <c r="D21" s="105"/>
    </row>
    <row r="22" spans="1:4" ht="19" x14ac:dyDescent="0.2">
      <c r="A22" s="62"/>
      <c r="B22" s="65" t="s">
        <v>294</v>
      </c>
      <c r="C22" s="64"/>
      <c r="D22" s="64"/>
    </row>
    <row r="23" spans="1:4" x14ac:dyDescent="0.2">
      <c r="A23" s="62">
        <v>19</v>
      </c>
      <c r="B23" s="62" t="s">
        <v>295</v>
      </c>
      <c r="C23" t="s">
        <v>713</v>
      </c>
      <c r="D23" s="105"/>
    </row>
    <row r="24" spans="1:4" x14ac:dyDescent="0.2">
      <c r="A24" s="62">
        <v>20</v>
      </c>
      <c r="B24" s="62" t="s">
        <v>298</v>
      </c>
      <c r="C24" t="s">
        <v>714</v>
      </c>
      <c r="D24" s="105"/>
    </row>
    <row r="25" spans="1:4" x14ac:dyDescent="0.2">
      <c r="A25" s="62">
        <v>21</v>
      </c>
      <c r="B25" s="62" t="s">
        <v>300</v>
      </c>
      <c r="C25" t="s">
        <v>715</v>
      </c>
      <c r="D25" s="105"/>
    </row>
    <row r="26" spans="1:4" x14ac:dyDescent="0.2">
      <c r="A26" s="62">
        <v>22</v>
      </c>
      <c r="B26" s="62" t="s">
        <v>302</v>
      </c>
      <c r="C26" t="s">
        <v>323</v>
      </c>
      <c r="D26" s="105"/>
    </row>
    <row r="27" spans="1:4" ht="19" x14ac:dyDescent="0.2">
      <c r="A27" s="62"/>
      <c r="B27" s="65" t="s">
        <v>304</v>
      </c>
      <c r="C27" s="64"/>
      <c r="D27" s="64"/>
    </row>
    <row r="28" spans="1:4" x14ac:dyDescent="0.2">
      <c r="A28" s="106">
        <v>23</v>
      </c>
      <c r="B28" s="106" t="s">
        <v>305</v>
      </c>
      <c r="C28" t="s">
        <v>716</v>
      </c>
      <c r="D28" s="105"/>
    </row>
    <row r="29" spans="1:4" x14ac:dyDescent="0.2">
      <c r="A29" s="62">
        <v>24</v>
      </c>
      <c r="B29" s="62" t="s">
        <v>307</v>
      </c>
      <c r="C29" t="s">
        <v>324</v>
      </c>
      <c r="D29" s="105"/>
    </row>
    <row r="30" spans="1:4" x14ac:dyDescent="0.2">
      <c r="A30" s="62">
        <v>25</v>
      </c>
      <c r="B30" s="62" t="s">
        <v>309</v>
      </c>
      <c r="C30" t="s">
        <v>325</v>
      </c>
      <c r="D30" s="120"/>
    </row>
    <row r="31" spans="1:4" x14ac:dyDescent="0.2">
      <c r="A31" s="62">
        <v>26</v>
      </c>
      <c r="B31" s="62" t="s">
        <v>311</v>
      </c>
      <c r="C31" t="s">
        <v>321</v>
      </c>
      <c r="D31" s="105"/>
    </row>
    <row r="32" spans="1:4" ht="19" x14ac:dyDescent="0.2">
      <c r="A32" s="66"/>
      <c r="B32" s="65" t="s">
        <v>201</v>
      </c>
      <c r="C32" s="64"/>
      <c r="D32" s="64"/>
    </row>
    <row r="33" spans="1:4" x14ac:dyDescent="0.2">
      <c r="A33" s="66"/>
      <c r="D33" s="105"/>
    </row>
    <row r="34" spans="1:4" ht="5" customHeight="1" x14ac:dyDescent="0.2">
      <c r="A34" s="134"/>
      <c r="B34" s="135"/>
      <c r="C34" s="137"/>
      <c r="D34" s="137"/>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9386EB-5E9A-4E87-99AE-544969276D5B}">
  <sheetPr>
    <tabColor theme="9" tint="0.59999389629810485"/>
  </sheetPr>
  <dimension ref="A1:DV67"/>
  <sheetViews>
    <sheetView zoomScaleNormal="100" workbookViewId="0">
      <pane ySplit="1" topLeftCell="A22" activePane="bottomLeft" state="frozen"/>
      <selection pane="bottomLeft" activeCell="M47" sqref="M47"/>
    </sheetView>
  </sheetViews>
  <sheetFormatPr baseColWidth="10" defaultColWidth="11" defaultRowHeight="16" x14ac:dyDescent="0.2"/>
  <cols>
    <col min="1" max="1" width="46.6640625" customWidth="1"/>
    <col min="2" max="2" width="10.1640625" customWidth="1"/>
    <col min="3" max="3" width="52.83203125" customWidth="1"/>
  </cols>
  <sheetData>
    <row r="1" spans="1:126" ht="160" x14ac:dyDescent="0.2">
      <c r="A1" s="97" t="s">
        <v>717</v>
      </c>
      <c r="B1" s="97" t="s">
        <v>593</v>
      </c>
      <c r="C1" s="97" t="s">
        <v>52</v>
      </c>
      <c r="D1" s="97" t="s">
        <v>123</v>
      </c>
      <c r="E1" s="138" t="s">
        <v>124</v>
      </c>
      <c r="F1" s="138" t="s">
        <v>20</v>
      </c>
      <c r="G1" s="97" t="s">
        <v>125</v>
      </c>
      <c r="H1" s="138" t="s">
        <v>126</v>
      </c>
      <c r="I1" s="138" t="s">
        <v>127</v>
      </c>
      <c r="J1" s="97" t="s">
        <v>128</v>
      </c>
      <c r="K1" s="138" t="s">
        <v>129</v>
      </c>
      <c r="L1" s="97" t="s">
        <v>130</v>
      </c>
      <c r="M1" s="97" t="s">
        <v>131</v>
      </c>
      <c r="N1" s="97"/>
      <c r="O1" s="100"/>
      <c r="P1" s="100"/>
      <c r="Q1" s="100"/>
    </row>
    <row r="2" spans="1:126" s="64" customFormat="1" ht="19" x14ac:dyDescent="0.2">
      <c r="A2" s="65" t="s">
        <v>326</v>
      </c>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row>
    <row r="3" spans="1:126" x14ac:dyDescent="0.2">
      <c r="A3" s="62" t="s">
        <v>327</v>
      </c>
      <c r="B3">
        <v>1</v>
      </c>
      <c r="C3" s="62" t="s">
        <v>328</v>
      </c>
      <c r="D3" s="62" t="s">
        <v>135</v>
      </c>
      <c r="E3" s="86"/>
      <c r="F3" s="86"/>
      <c r="G3" s="62" t="s">
        <v>135</v>
      </c>
      <c r="H3" s="105"/>
      <c r="I3" s="180">
        <v>0</v>
      </c>
      <c r="J3" s="62" t="s">
        <v>147</v>
      </c>
      <c r="K3" s="86"/>
      <c r="L3" s="62" t="s">
        <v>140</v>
      </c>
      <c r="M3" s="62" t="s">
        <v>141</v>
      </c>
      <c r="N3" s="62"/>
      <c r="O3" s="62"/>
      <c r="P3" s="62"/>
    </row>
    <row r="4" spans="1:126" x14ac:dyDescent="0.2">
      <c r="A4" s="62" t="s">
        <v>331</v>
      </c>
      <c r="B4">
        <v>2</v>
      </c>
      <c r="C4" s="62" t="s">
        <v>332</v>
      </c>
      <c r="D4" s="62" t="s">
        <v>135</v>
      </c>
      <c r="E4" s="86"/>
      <c r="F4" s="86"/>
      <c r="G4" s="62" t="s">
        <v>135</v>
      </c>
      <c r="H4" s="105"/>
      <c r="I4" s="180">
        <v>0</v>
      </c>
      <c r="J4" s="62" t="s">
        <v>147</v>
      </c>
      <c r="K4" s="86"/>
      <c r="L4" s="62" t="s">
        <v>140</v>
      </c>
      <c r="M4" s="62" t="s">
        <v>181</v>
      </c>
      <c r="N4" s="62"/>
      <c r="O4" s="62"/>
      <c r="P4" s="62"/>
    </row>
    <row r="5" spans="1:126" x14ac:dyDescent="0.2">
      <c r="A5" s="62" t="s">
        <v>333</v>
      </c>
      <c r="B5">
        <v>3</v>
      </c>
      <c r="C5" s="62" t="s">
        <v>334</v>
      </c>
      <c r="D5" s="62" t="s">
        <v>135</v>
      </c>
      <c r="E5" s="86"/>
      <c r="F5" s="86"/>
      <c r="G5" s="62" t="s">
        <v>137</v>
      </c>
      <c r="H5" s="105"/>
      <c r="I5" s="180">
        <v>0</v>
      </c>
      <c r="J5" s="62" t="s">
        <v>147</v>
      </c>
      <c r="K5" s="86"/>
      <c r="L5" s="62" t="s">
        <v>140</v>
      </c>
      <c r="M5" s="62" t="s">
        <v>181</v>
      </c>
      <c r="N5" s="62"/>
      <c r="O5" s="62"/>
      <c r="P5" s="62"/>
    </row>
    <row r="6" spans="1:126" x14ac:dyDescent="0.2">
      <c r="A6" s="62" t="s">
        <v>335</v>
      </c>
      <c r="B6">
        <v>4</v>
      </c>
      <c r="C6" s="62" t="s">
        <v>336</v>
      </c>
      <c r="D6" s="62" t="s">
        <v>135</v>
      </c>
      <c r="E6" s="86"/>
      <c r="F6" s="86"/>
      <c r="G6" s="62" t="s">
        <v>137</v>
      </c>
      <c r="H6" s="105"/>
      <c r="I6" s="180">
        <v>0</v>
      </c>
      <c r="J6" s="62" t="s">
        <v>139</v>
      </c>
      <c r="K6" s="86"/>
      <c r="L6" s="62" t="s">
        <v>140</v>
      </c>
      <c r="M6" s="62" t="s">
        <v>181</v>
      </c>
      <c r="N6" s="62"/>
      <c r="O6" s="62"/>
      <c r="P6" s="62"/>
    </row>
    <row r="7" spans="1:126" s="64" customFormat="1" ht="19" x14ac:dyDescent="0.2">
      <c r="A7" s="65" t="s">
        <v>338</v>
      </c>
      <c r="C7" s="85"/>
      <c r="D7" s="85"/>
      <c r="E7" s="85"/>
      <c r="F7" s="85"/>
      <c r="G7" s="85"/>
      <c r="H7" s="85"/>
      <c r="I7" s="85"/>
      <c r="J7" s="85"/>
      <c r="K7" s="85"/>
      <c r="L7" s="85"/>
      <c r="M7" s="85"/>
      <c r="N7" s="85"/>
      <c r="O7" s="62"/>
      <c r="P7" s="62"/>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row>
    <row r="8" spans="1:126" x14ac:dyDescent="0.2">
      <c r="A8" s="62" t="s">
        <v>339</v>
      </c>
      <c r="B8">
        <v>5</v>
      </c>
      <c r="C8" s="62" t="s">
        <v>340</v>
      </c>
      <c r="D8" s="62" t="s">
        <v>135</v>
      </c>
      <c r="E8" s="86"/>
      <c r="F8" s="86"/>
      <c r="G8" s="62" t="s">
        <v>137</v>
      </c>
      <c r="H8" s="105"/>
      <c r="I8" s="180">
        <v>0</v>
      </c>
      <c r="J8" s="62" t="s">
        <v>144</v>
      </c>
      <c r="K8" s="86"/>
      <c r="L8" s="62" t="s">
        <v>140</v>
      </c>
      <c r="M8" s="62" t="s">
        <v>181</v>
      </c>
      <c r="N8" s="62"/>
      <c r="O8" s="62"/>
      <c r="P8" s="62"/>
    </row>
    <row r="9" spans="1:126" x14ac:dyDescent="0.2">
      <c r="A9" s="62" t="s">
        <v>341</v>
      </c>
      <c r="B9">
        <v>6</v>
      </c>
      <c r="C9" s="62" t="s">
        <v>342</v>
      </c>
      <c r="D9" s="62" t="s">
        <v>135</v>
      </c>
      <c r="E9" s="86"/>
      <c r="F9" s="86"/>
      <c r="G9" s="62" t="s">
        <v>135</v>
      </c>
      <c r="H9" s="105"/>
      <c r="I9" s="180">
        <v>0</v>
      </c>
      <c r="J9" s="62" t="s">
        <v>147</v>
      </c>
      <c r="K9" s="86"/>
      <c r="L9" s="62" t="s">
        <v>140</v>
      </c>
      <c r="M9" s="62" t="s">
        <v>181</v>
      </c>
      <c r="N9" s="62"/>
      <c r="O9" s="62"/>
      <c r="P9" s="62"/>
    </row>
    <row r="10" spans="1:126" x14ac:dyDescent="0.2">
      <c r="A10" s="62" t="s">
        <v>343</v>
      </c>
      <c r="B10">
        <v>7</v>
      </c>
      <c r="C10" s="62" t="s">
        <v>344</v>
      </c>
      <c r="D10" s="62" t="s">
        <v>135</v>
      </c>
      <c r="E10" s="86"/>
      <c r="F10" s="86"/>
      <c r="G10" s="62" t="s">
        <v>137</v>
      </c>
      <c r="H10" s="105"/>
      <c r="I10" s="180">
        <v>0</v>
      </c>
      <c r="J10" s="62" t="s">
        <v>147</v>
      </c>
      <c r="K10" s="86"/>
      <c r="L10" s="62" t="s">
        <v>140</v>
      </c>
      <c r="M10" s="62" t="s">
        <v>181</v>
      </c>
      <c r="N10" s="62"/>
      <c r="O10" s="62"/>
      <c r="P10" s="62"/>
    </row>
    <row r="11" spans="1:126" s="64" customFormat="1" ht="19" x14ac:dyDescent="0.2">
      <c r="A11" s="65" t="s">
        <v>346</v>
      </c>
      <c r="C11" s="85"/>
      <c r="D11" s="85"/>
      <c r="E11" s="85"/>
      <c r="F11" s="85"/>
      <c r="G11" s="85"/>
      <c r="H11" s="85"/>
      <c r="I11" s="85"/>
      <c r="J11" s="85"/>
      <c r="K11" s="85"/>
      <c r="L11" s="85"/>
      <c r="M11" s="85"/>
      <c r="N11" s="85"/>
      <c r="O11" s="62"/>
      <c r="P11" s="62"/>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row>
    <row r="12" spans="1:126" x14ac:dyDescent="0.2">
      <c r="A12" s="62" t="s">
        <v>347</v>
      </c>
      <c r="B12">
        <v>8</v>
      </c>
      <c r="C12" s="62" t="s">
        <v>348</v>
      </c>
      <c r="D12" s="62" t="s">
        <v>159</v>
      </c>
      <c r="E12" s="86"/>
      <c r="F12" s="86"/>
      <c r="G12" s="62" t="s">
        <v>135</v>
      </c>
      <c r="H12" s="105"/>
      <c r="I12" s="180">
        <v>0</v>
      </c>
      <c r="J12" s="62" t="s">
        <v>147</v>
      </c>
      <c r="K12" s="86"/>
      <c r="L12" s="62" t="s">
        <v>140</v>
      </c>
      <c r="M12" s="62" t="s">
        <v>181</v>
      </c>
      <c r="N12" s="62"/>
      <c r="O12" s="62"/>
      <c r="P12" s="62"/>
    </row>
    <row r="13" spans="1:126" s="64" customFormat="1" ht="19" x14ac:dyDescent="0.2">
      <c r="A13" s="65" t="s">
        <v>115</v>
      </c>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row>
    <row r="14" spans="1:126" ht="19" x14ac:dyDescent="0.25">
      <c r="A14" s="62" t="s">
        <v>349</v>
      </c>
      <c r="B14">
        <v>9</v>
      </c>
      <c r="C14" s="52" t="s">
        <v>350</v>
      </c>
      <c r="D14" s="53" t="s">
        <v>159</v>
      </c>
      <c r="E14" s="86"/>
      <c r="F14" s="86"/>
      <c r="G14" s="53" t="s">
        <v>137</v>
      </c>
      <c r="H14" s="105"/>
      <c r="I14" s="180">
        <v>0</v>
      </c>
      <c r="J14" s="53" t="s">
        <v>742</v>
      </c>
      <c r="K14" s="105"/>
      <c r="L14" s="53" t="s">
        <v>140</v>
      </c>
      <c r="M14" s="52" t="s">
        <v>181</v>
      </c>
    </row>
    <row r="15" spans="1:126" s="64" customFormat="1" ht="19" x14ac:dyDescent="0.2">
      <c r="A15" s="65" t="s">
        <v>351</v>
      </c>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row>
    <row r="16" spans="1:126" x14ac:dyDescent="0.2">
      <c r="A16" s="62" t="s">
        <v>352</v>
      </c>
      <c r="B16">
        <v>10</v>
      </c>
      <c r="C16" t="s">
        <v>353</v>
      </c>
      <c r="D16" t="s">
        <v>135</v>
      </c>
      <c r="E16" s="86"/>
      <c r="F16" s="86"/>
      <c r="G16" t="s">
        <v>135</v>
      </c>
      <c r="H16" s="105"/>
      <c r="I16" s="180">
        <v>0</v>
      </c>
      <c r="J16" t="s">
        <v>147</v>
      </c>
      <c r="K16" s="105"/>
      <c r="L16" t="s">
        <v>140</v>
      </c>
      <c r="M16" t="s">
        <v>141</v>
      </c>
      <c r="O16" s="63"/>
    </row>
    <row r="17" spans="1:126" x14ac:dyDescent="0.2">
      <c r="A17" s="62" t="s">
        <v>354</v>
      </c>
      <c r="B17">
        <v>11</v>
      </c>
      <c r="C17" t="s">
        <v>355</v>
      </c>
      <c r="D17" t="s">
        <v>135</v>
      </c>
      <c r="E17" s="86"/>
      <c r="F17" s="86"/>
      <c r="G17" t="s">
        <v>135</v>
      </c>
      <c r="H17" s="105"/>
      <c r="I17" s="180">
        <v>0</v>
      </c>
      <c r="J17" t="s">
        <v>147</v>
      </c>
      <c r="K17" s="105"/>
      <c r="L17" t="s">
        <v>140</v>
      </c>
      <c r="M17" t="s">
        <v>141</v>
      </c>
      <c r="O17" s="63"/>
    </row>
    <row r="18" spans="1:126" x14ac:dyDescent="0.2">
      <c r="A18" s="62" t="s">
        <v>356</v>
      </c>
      <c r="B18">
        <v>12</v>
      </c>
      <c r="C18" t="s">
        <v>357</v>
      </c>
      <c r="D18" t="s">
        <v>135</v>
      </c>
      <c r="E18" s="86"/>
      <c r="F18" s="86"/>
      <c r="G18" t="s">
        <v>743</v>
      </c>
      <c r="H18" s="105"/>
      <c r="I18" s="180">
        <v>0</v>
      </c>
      <c r="J18" t="s">
        <v>147</v>
      </c>
      <c r="K18" s="105"/>
      <c r="L18" t="s">
        <v>140</v>
      </c>
      <c r="M18" t="s">
        <v>141</v>
      </c>
      <c r="O18" s="63"/>
    </row>
    <row r="19" spans="1:126" x14ac:dyDescent="0.2">
      <c r="A19" s="62" t="s">
        <v>358</v>
      </c>
      <c r="B19">
        <v>13</v>
      </c>
      <c r="C19" t="s">
        <v>359</v>
      </c>
      <c r="D19" t="s">
        <v>135</v>
      </c>
      <c r="E19" s="86"/>
      <c r="F19" s="86"/>
      <c r="G19" t="s">
        <v>135</v>
      </c>
      <c r="H19" s="105"/>
      <c r="I19" s="180">
        <v>0</v>
      </c>
      <c r="J19" t="s">
        <v>139</v>
      </c>
      <c r="K19" s="105"/>
      <c r="L19" t="s">
        <v>140</v>
      </c>
      <c r="M19" t="s">
        <v>141</v>
      </c>
      <c r="O19" s="63"/>
    </row>
    <row r="20" spans="1:126" x14ac:dyDescent="0.2">
      <c r="A20" s="62" t="s">
        <v>360</v>
      </c>
      <c r="B20">
        <v>14</v>
      </c>
      <c r="C20" t="s">
        <v>361</v>
      </c>
      <c r="D20" t="s">
        <v>135</v>
      </c>
      <c r="E20" s="86"/>
      <c r="F20" s="86"/>
      <c r="G20" t="s">
        <v>137</v>
      </c>
      <c r="H20" s="105"/>
      <c r="I20" s="180">
        <v>0</v>
      </c>
      <c r="J20" t="s">
        <v>147</v>
      </c>
      <c r="K20" s="105"/>
      <c r="L20" t="s">
        <v>140</v>
      </c>
      <c r="M20" t="s">
        <v>141</v>
      </c>
      <c r="O20" s="63"/>
    </row>
    <row r="21" spans="1:126" x14ac:dyDescent="0.2">
      <c r="A21" s="62" t="s">
        <v>362</v>
      </c>
      <c r="B21">
        <v>15</v>
      </c>
      <c r="C21" t="s">
        <v>363</v>
      </c>
      <c r="D21" t="s">
        <v>159</v>
      </c>
      <c r="E21" s="86"/>
      <c r="F21" s="86"/>
      <c r="G21" t="s">
        <v>710</v>
      </c>
      <c r="H21" s="105"/>
      <c r="I21" s="180">
        <v>0</v>
      </c>
      <c r="J21" t="s">
        <v>139</v>
      </c>
      <c r="K21" s="105"/>
      <c r="L21" t="s">
        <v>140</v>
      </c>
      <c r="M21" t="s">
        <v>141</v>
      </c>
      <c r="O21" s="63"/>
    </row>
    <row r="22" spans="1:126" ht="19" x14ac:dyDescent="0.2">
      <c r="A22" s="62" t="s">
        <v>364</v>
      </c>
      <c r="B22">
        <v>16</v>
      </c>
      <c r="C22" t="s">
        <v>365</v>
      </c>
      <c r="D22" t="s">
        <v>159</v>
      </c>
      <c r="E22" s="86"/>
      <c r="F22" s="86"/>
      <c r="G22" t="s">
        <v>137</v>
      </c>
      <c r="H22" s="105"/>
      <c r="I22" s="180">
        <v>0</v>
      </c>
      <c r="J22" t="s">
        <v>744</v>
      </c>
      <c r="K22" s="105"/>
      <c r="L22" t="s">
        <v>140</v>
      </c>
      <c r="M22" t="s">
        <v>141</v>
      </c>
      <c r="O22" s="63"/>
      <c r="P22" s="61"/>
    </row>
    <row r="23" spans="1:126" s="64" customFormat="1" ht="19" x14ac:dyDescent="0.2">
      <c r="A23" s="65" t="s">
        <v>366</v>
      </c>
      <c r="D23" s="93"/>
      <c r="O23" s="6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row>
    <row r="24" spans="1:126" x14ac:dyDescent="0.2">
      <c r="A24" s="62" t="s">
        <v>367</v>
      </c>
      <c r="B24">
        <v>17</v>
      </c>
      <c r="C24" t="s">
        <v>368</v>
      </c>
      <c r="D24" t="s">
        <v>135</v>
      </c>
      <c r="E24" s="86"/>
      <c r="F24" s="86"/>
      <c r="G24" t="s">
        <v>137</v>
      </c>
      <c r="H24" s="105"/>
      <c r="I24" s="180">
        <v>0</v>
      </c>
      <c r="J24" t="s">
        <v>147</v>
      </c>
      <c r="K24" s="105"/>
      <c r="L24" t="s">
        <v>140</v>
      </c>
      <c r="M24" t="s">
        <v>141</v>
      </c>
      <c r="O24" s="63"/>
      <c r="P24" s="70"/>
    </row>
    <row r="25" spans="1:126" x14ac:dyDescent="0.2">
      <c r="A25" s="62" t="s">
        <v>369</v>
      </c>
      <c r="B25">
        <v>18</v>
      </c>
      <c r="C25" t="s">
        <v>370</v>
      </c>
      <c r="D25" t="s">
        <v>135</v>
      </c>
      <c r="E25" s="86"/>
      <c r="F25" s="86"/>
      <c r="G25" t="s">
        <v>137</v>
      </c>
      <c r="H25" s="105"/>
      <c r="I25" s="180">
        <v>0</v>
      </c>
      <c r="J25" t="s">
        <v>139</v>
      </c>
      <c r="K25" s="105"/>
      <c r="L25" t="s">
        <v>140</v>
      </c>
      <c r="M25" t="s">
        <v>141</v>
      </c>
      <c r="O25" s="63"/>
      <c r="P25" s="62"/>
    </row>
    <row r="26" spans="1:126" s="64" customFormat="1" ht="19" x14ac:dyDescent="0.2">
      <c r="A26" s="65" t="s">
        <v>371</v>
      </c>
      <c r="O26"/>
      <c r="P26" s="63"/>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row>
    <row r="27" spans="1:126" x14ac:dyDescent="0.2">
      <c r="A27" s="62" t="s">
        <v>372</v>
      </c>
      <c r="B27">
        <v>19</v>
      </c>
      <c r="C27" t="s">
        <v>373</v>
      </c>
      <c r="D27" t="s">
        <v>135</v>
      </c>
      <c r="E27" s="86"/>
      <c r="F27" s="86"/>
      <c r="G27" t="s">
        <v>710</v>
      </c>
      <c r="H27" s="105"/>
      <c r="I27" s="180">
        <v>0</v>
      </c>
      <c r="J27" t="s">
        <v>744</v>
      </c>
      <c r="K27" s="105"/>
      <c r="L27" t="s">
        <v>140</v>
      </c>
      <c r="M27" t="s">
        <v>141</v>
      </c>
      <c r="O27" s="70"/>
      <c r="P27" s="63"/>
    </row>
    <row r="28" spans="1:126" x14ac:dyDescent="0.2">
      <c r="A28" s="62" t="s">
        <v>374</v>
      </c>
      <c r="B28">
        <v>20</v>
      </c>
      <c r="C28" t="s">
        <v>375</v>
      </c>
      <c r="D28" t="s">
        <v>135</v>
      </c>
      <c r="E28" s="86"/>
      <c r="F28" s="86"/>
      <c r="G28" t="s">
        <v>137</v>
      </c>
      <c r="H28" s="105"/>
      <c r="I28" s="180">
        <v>0</v>
      </c>
      <c r="J28" t="s">
        <v>139</v>
      </c>
      <c r="K28" s="105"/>
      <c r="L28" t="s">
        <v>140</v>
      </c>
      <c r="M28" t="s">
        <v>141</v>
      </c>
      <c r="O28" s="62"/>
      <c r="P28" s="63"/>
    </row>
    <row r="29" spans="1:126" s="64" customFormat="1" ht="19" x14ac:dyDescent="0.2">
      <c r="A29" s="65" t="s">
        <v>376</v>
      </c>
      <c r="O29" s="63"/>
      <c r="P29" s="63"/>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row>
    <row r="30" spans="1:126" x14ac:dyDescent="0.2">
      <c r="A30" s="73" t="s">
        <v>377</v>
      </c>
      <c r="B30">
        <v>21</v>
      </c>
      <c r="C30" t="s">
        <v>378</v>
      </c>
      <c r="D30" t="s">
        <v>159</v>
      </c>
      <c r="E30" s="86"/>
      <c r="F30" s="86"/>
      <c r="G30" t="s">
        <v>137</v>
      </c>
      <c r="H30" s="105"/>
      <c r="I30" s="180">
        <v>0</v>
      </c>
      <c r="J30" t="s">
        <v>144</v>
      </c>
      <c r="K30" s="105"/>
      <c r="L30" t="s">
        <v>140</v>
      </c>
      <c r="M30" t="s">
        <v>141</v>
      </c>
      <c r="O30" s="63"/>
      <c r="P30" s="70"/>
    </row>
    <row r="31" spans="1:126" x14ac:dyDescent="0.2">
      <c r="A31" s="62" t="s">
        <v>745</v>
      </c>
      <c r="B31">
        <v>22</v>
      </c>
      <c r="C31" t="s">
        <v>746</v>
      </c>
      <c r="D31" t="s">
        <v>135</v>
      </c>
      <c r="E31" s="86"/>
      <c r="F31" s="86"/>
      <c r="G31" t="s">
        <v>137</v>
      </c>
      <c r="H31" s="105"/>
      <c r="I31" s="180">
        <v>0</v>
      </c>
      <c r="J31" t="s">
        <v>147</v>
      </c>
      <c r="K31" s="105"/>
      <c r="L31" t="s">
        <v>140</v>
      </c>
      <c r="M31" t="s">
        <v>141</v>
      </c>
      <c r="O31" s="63"/>
      <c r="P31" s="62"/>
    </row>
    <row r="32" spans="1:126" s="64" customFormat="1" ht="19" x14ac:dyDescent="0.2">
      <c r="A32" s="65" t="s">
        <v>379</v>
      </c>
      <c r="O32" s="63"/>
      <c r="P32" s="63"/>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row>
    <row r="33" spans="1:126" x14ac:dyDescent="0.2">
      <c r="A33" s="62" t="s">
        <v>719</v>
      </c>
      <c r="B33">
        <v>23</v>
      </c>
      <c r="C33" t="s">
        <v>718</v>
      </c>
      <c r="D33" t="s">
        <v>159</v>
      </c>
      <c r="E33" s="86"/>
      <c r="F33" s="86"/>
      <c r="G33" t="s">
        <v>135</v>
      </c>
      <c r="H33" s="105"/>
      <c r="I33" s="180">
        <v>0</v>
      </c>
      <c r="J33" t="s">
        <v>147</v>
      </c>
      <c r="K33" s="105"/>
      <c r="L33" t="s">
        <v>140</v>
      </c>
      <c r="M33" t="s">
        <v>141</v>
      </c>
      <c r="O33" s="63"/>
      <c r="P33" s="63"/>
    </row>
    <row r="34" spans="1:126" x14ac:dyDescent="0.2">
      <c r="A34" s="62" t="s">
        <v>721</v>
      </c>
      <c r="B34">
        <v>24</v>
      </c>
      <c r="C34" t="s">
        <v>720</v>
      </c>
      <c r="D34" t="s">
        <v>159</v>
      </c>
      <c r="E34" s="86"/>
      <c r="F34" s="86"/>
      <c r="G34" t="s">
        <v>135</v>
      </c>
      <c r="H34" s="105"/>
      <c r="I34" s="180">
        <v>0</v>
      </c>
      <c r="J34" t="s">
        <v>147</v>
      </c>
      <c r="K34" s="105"/>
      <c r="L34" t="s">
        <v>140</v>
      </c>
      <c r="M34" t="s">
        <v>141</v>
      </c>
      <c r="O34" s="63"/>
      <c r="P34" s="63"/>
    </row>
    <row r="35" spans="1:126" s="64" customFormat="1" ht="19" x14ac:dyDescent="0.2">
      <c r="A35" s="65" t="s">
        <v>380</v>
      </c>
      <c r="O35"/>
      <c r="P35" s="63"/>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row>
    <row r="36" spans="1:126" x14ac:dyDescent="0.2">
      <c r="A36" s="62" t="s">
        <v>724</v>
      </c>
      <c r="B36">
        <v>25</v>
      </c>
      <c r="C36" t="s">
        <v>722</v>
      </c>
      <c r="D36" t="s">
        <v>135</v>
      </c>
      <c r="E36" s="86"/>
      <c r="F36" s="86"/>
      <c r="G36" t="s">
        <v>137</v>
      </c>
      <c r="H36" s="105"/>
      <c r="I36" s="180">
        <v>0</v>
      </c>
      <c r="J36" t="s">
        <v>139</v>
      </c>
      <c r="K36" s="105"/>
      <c r="L36" t="s">
        <v>140</v>
      </c>
      <c r="M36" t="s">
        <v>141</v>
      </c>
      <c r="P36" s="70"/>
    </row>
    <row r="37" spans="1:126" x14ac:dyDescent="0.2">
      <c r="A37" s="62" t="s">
        <v>725</v>
      </c>
      <c r="B37">
        <v>26</v>
      </c>
      <c r="C37" t="s">
        <v>723</v>
      </c>
      <c r="D37" t="s">
        <v>135</v>
      </c>
      <c r="E37" s="86"/>
      <c r="F37" s="86"/>
      <c r="G37" t="s">
        <v>135</v>
      </c>
      <c r="H37" s="105"/>
      <c r="I37" s="180">
        <v>0</v>
      </c>
      <c r="J37" t="s">
        <v>139</v>
      </c>
      <c r="K37" s="105"/>
      <c r="L37" t="s">
        <v>140</v>
      </c>
      <c r="M37" t="s">
        <v>141</v>
      </c>
      <c r="P37" s="63"/>
    </row>
    <row r="38" spans="1:126" s="64" customFormat="1" ht="19" x14ac:dyDescent="0.2">
      <c r="A38" s="65" t="s">
        <v>381</v>
      </c>
      <c r="O38"/>
      <c r="P38" s="63"/>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row>
    <row r="39" spans="1:126" x14ac:dyDescent="0.2">
      <c r="A39" s="62" t="s">
        <v>726</v>
      </c>
      <c r="B39">
        <v>27</v>
      </c>
      <c r="C39" t="s">
        <v>727</v>
      </c>
      <c r="D39" t="s">
        <v>135</v>
      </c>
      <c r="E39" s="86"/>
      <c r="F39" s="86"/>
      <c r="G39" t="s">
        <v>135</v>
      </c>
      <c r="H39" s="105"/>
      <c r="I39" s="180">
        <v>0</v>
      </c>
      <c r="J39" t="s">
        <v>139</v>
      </c>
      <c r="K39" s="105"/>
      <c r="L39" t="s">
        <v>140</v>
      </c>
      <c r="M39" t="s">
        <v>141</v>
      </c>
      <c r="P39" s="63"/>
    </row>
    <row r="40" spans="1:126" x14ac:dyDescent="0.2">
      <c r="A40" s="62" t="s">
        <v>728</v>
      </c>
      <c r="B40">
        <v>28</v>
      </c>
      <c r="C40" t="s">
        <v>729</v>
      </c>
      <c r="D40" t="s">
        <v>135</v>
      </c>
      <c r="E40" s="86"/>
      <c r="F40" s="86"/>
      <c r="G40" t="s">
        <v>135</v>
      </c>
      <c r="H40" s="105"/>
      <c r="I40" s="180">
        <v>0</v>
      </c>
      <c r="J40" t="s">
        <v>139</v>
      </c>
      <c r="K40" s="105"/>
      <c r="L40" t="s">
        <v>140</v>
      </c>
      <c r="M40" t="s">
        <v>141</v>
      </c>
      <c r="P40" s="63"/>
    </row>
    <row r="41" spans="1:126" s="64" customFormat="1" ht="19" x14ac:dyDescent="0.2">
      <c r="A41" s="65" t="s">
        <v>382</v>
      </c>
      <c r="O41"/>
      <c r="P41" s="63"/>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row>
    <row r="42" spans="1:126" x14ac:dyDescent="0.2">
      <c r="A42" s="62" t="s">
        <v>730</v>
      </c>
      <c r="B42">
        <v>29</v>
      </c>
      <c r="C42" t="s">
        <v>731</v>
      </c>
      <c r="D42" t="s">
        <v>135</v>
      </c>
      <c r="E42" s="86"/>
      <c r="F42" s="86"/>
      <c r="G42" t="s">
        <v>747</v>
      </c>
      <c r="H42" s="105"/>
      <c r="I42" s="180">
        <v>0</v>
      </c>
      <c r="J42" t="s">
        <v>144</v>
      </c>
      <c r="K42" s="105"/>
      <c r="L42" t="s">
        <v>140</v>
      </c>
      <c r="M42" t="s">
        <v>141</v>
      </c>
      <c r="P42" s="63"/>
    </row>
    <row r="43" spans="1:126" s="64" customFormat="1" ht="19" x14ac:dyDescent="0.2">
      <c r="A43" s="65" t="s">
        <v>383</v>
      </c>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row>
    <row r="44" spans="1:126" x14ac:dyDescent="0.2">
      <c r="A44" s="62" t="s">
        <v>732</v>
      </c>
      <c r="B44">
        <v>30</v>
      </c>
      <c r="C44" t="s">
        <v>733</v>
      </c>
      <c r="D44" t="s">
        <v>135</v>
      </c>
      <c r="E44" s="86"/>
      <c r="F44" s="86"/>
      <c r="G44" t="s">
        <v>135</v>
      </c>
      <c r="H44" s="105"/>
      <c r="I44" s="180">
        <v>0</v>
      </c>
      <c r="J44" t="s">
        <v>147</v>
      </c>
      <c r="K44" s="105"/>
      <c r="L44" t="s">
        <v>140</v>
      </c>
      <c r="M44" t="s">
        <v>141</v>
      </c>
      <c r="P44" s="70"/>
    </row>
    <row r="45" spans="1:126" s="64" customFormat="1" ht="19" x14ac:dyDescent="0.2">
      <c r="A45" s="65" t="s">
        <v>384</v>
      </c>
      <c r="O45"/>
      <c r="P45" s="62"/>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row>
    <row r="46" spans="1:126" x14ac:dyDescent="0.2">
      <c r="A46" s="62" t="s">
        <v>734</v>
      </c>
      <c r="B46">
        <v>31</v>
      </c>
      <c r="C46" t="s">
        <v>735</v>
      </c>
      <c r="D46" t="s">
        <v>135</v>
      </c>
      <c r="E46" s="86"/>
      <c r="F46" s="86"/>
      <c r="G46" t="s">
        <v>135</v>
      </c>
      <c r="H46" s="105"/>
      <c r="I46" s="180">
        <v>0</v>
      </c>
      <c r="J46" t="s">
        <v>147</v>
      </c>
      <c r="K46" s="105"/>
      <c r="L46" t="s">
        <v>140</v>
      </c>
      <c r="M46" t="s">
        <v>141</v>
      </c>
      <c r="P46" s="63"/>
    </row>
    <row r="47" spans="1:126" x14ac:dyDescent="0.2">
      <c r="A47" s="62" t="s">
        <v>736</v>
      </c>
      <c r="B47">
        <v>32</v>
      </c>
      <c r="C47" t="s">
        <v>737</v>
      </c>
      <c r="D47" t="s">
        <v>135</v>
      </c>
      <c r="E47" s="86"/>
      <c r="F47" s="86"/>
      <c r="G47" t="s">
        <v>135</v>
      </c>
      <c r="H47" s="105"/>
      <c r="I47" s="180">
        <v>0</v>
      </c>
      <c r="J47" t="s">
        <v>147</v>
      </c>
      <c r="K47" s="105"/>
      <c r="L47" t="s">
        <v>140</v>
      </c>
      <c r="M47" t="s">
        <v>141</v>
      </c>
      <c r="P47" s="63"/>
    </row>
    <row r="48" spans="1:126" ht="19" x14ac:dyDescent="0.2">
      <c r="A48" s="65" t="s">
        <v>385</v>
      </c>
      <c r="B48" s="64"/>
      <c r="C48" s="64"/>
      <c r="D48" s="64"/>
      <c r="E48" s="64"/>
      <c r="F48" s="64"/>
      <c r="G48" s="64"/>
      <c r="H48" s="64"/>
      <c r="I48" s="64"/>
      <c r="J48" s="64"/>
      <c r="K48" s="64"/>
      <c r="L48" s="64"/>
      <c r="M48" s="64"/>
      <c r="N48" s="64"/>
      <c r="P48" s="63"/>
    </row>
    <row r="49" spans="1:126" x14ac:dyDescent="0.2">
      <c r="A49" s="62" t="s">
        <v>738</v>
      </c>
      <c r="B49">
        <v>33</v>
      </c>
      <c r="C49" t="s">
        <v>739</v>
      </c>
      <c r="D49" t="s">
        <v>135</v>
      </c>
      <c r="E49" s="86"/>
      <c r="F49" s="86"/>
      <c r="G49" t="s">
        <v>135</v>
      </c>
      <c r="H49" s="105"/>
      <c r="I49" s="180">
        <v>0</v>
      </c>
      <c r="J49" t="s">
        <v>139</v>
      </c>
      <c r="K49" s="105"/>
      <c r="L49" t="s">
        <v>140</v>
      </c>
      <c r="M49" t="s">
        <v>141</v>
      </c>
      <c r="P49" s="63"/>
    </row>
    <row r="50" spans="1:126" s="64" customFormat="1" x14ac:dyDescent="0.2">
      <c r="A50" s="62" t="s">
        <v>740</v>
      </c>
      <c r="B50">
        <v>34</v>
      </c>
      <c r="C50" t="s">
        <v>741</v>
      </c>
      <c r="D50" t="s">
        <v>135</v>
      </c>
      <c r="E50" s="86"/>
      <c r="F50" s="86"/>
      <c r="G50" t="s">
        <v>135</v>
      </c>
      <c r="H50" s="105"/>
      <c r="I50" s="180">
        <v>0</v>
      </c>
      <c r="J50" t="s">
        <v>139</v>
      </c>
      <c r="K50" s="105"/>
      <c r="L50" t="s">
        <v>140</v>
      </c>
      <c r="M50" t="s">
        <v>141</v>
      </c>
      <c r="N50"/>
      <c r="O50"/>
      <c r="P50" s="63"/>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row>
    <row r="51" spans="1:126" ht="19" x14ac:dyDescent="0.2">
      <c r="A51" s="65" t="s">
        <v>646</v>
      </c>
      <c r="B51" s="64"/>
      <c r="C51" s="64"/>
      <c r="D51" s="64"/>
      <c r="E51" s="64"/>
      <c r="F51" s="64"/>
      <c r="G51" s="64"/>
      <c r="H51" s="64"/>
      <c r="I51" s="64"/>
      <c r="J51" s="64"/>
      <c r="K51" s="64"/>
      <c r="L51" s="64"/>
      <c r="M51" s="64"/>
      <c r="N51" s="64"/>
      <c r="P51" s="63"/>
    </row>
    <row r="52" spans="1:126" x14ac:dyDescent="0.2">
      <c r="E52" s="86"/>
      <c r="F52" s="86"/>
      <c r="H52" s="105"/>
      <c r="I52" s="105"/>
      <c r="K52" s="105"/>
      <c r="P52" s="63"/>
    </row>
    <row r="53" spans="1:126" ht="5" customHeight="1" x14ac:dyDescent="0.2">
      <c r="A53" s="137"/>
      <c r="B53" s="137"/>
      <c r="C53" s="137"/>
      <c r="D53" s="137"/>
      <c r="E53" s="137"/>
      <c r="F53" s="137"/>
      <c r="G53" s="137"/>
      <c r="H53" s="137"/>
      <c r="I53" s="137"/>
      <c r="J53" s="137"/>
      <c r="K53" s="137"/>
      <c r="L53" s="137"/>
      <c r="M53" s="137"/>
      <c r="N53" s="137"/>
      <c r="P53" s="63"/>
    </row>
    <row r="54" spans="1:126" x14ac:dyDescent="0.2">
      <c r="P54" s="63"/>
    </row>
    <row r="55" spans="1:126" x14ac:dyDescent="0.2">
      <c r="P55" s="63"/>
    </row>
    <row r="57" spans="1:126" ht="19" x14ac:dyDescent="0.25">
      <c r="A57" s="52"/>
    </row>
    <row r="58" spans="1:126" ht="19" x14ac:dyDescent="0.25">
      <c r="A58" s="52"/>
      <c r="B58" s="52"/>
      <c r="C58" s="53"/>
      <c r="D58" s="53"/>
      <c r="E58" s="53"/>
      <c r="F58" s="53"/>
      <c r="G58" s="52"/>
      <c r="H58" s="91"/>
      <c r="I58" s="91"/>
      <c r="J58" s="91"/>
      <c r="K58" s="92"/>
      <c r="L58" s="92"/>
    </row>
    <row r="59" spans="1:126" ht="19" x14ac:dyDescent="0.25">
      <c r="A59" s="52"/>
      <c r="B59" s="52"/>
      <c r="C59" s="53"/>
      <c r="D59" s="53"/>
      <c r="E59" s="53"/>
      <c r="F59" s="53"/>
      <c r="G59" s="52"/>
      <c r="H59" s="91"/>
      <c r="I59" s="91"/>
      <c r="J59" s="91"/>
      <c r="K59" s="92"/>
      <c r="L59" s="92"/>
    </row>
    <row r="60" spans="1:126" ht="19" x14ac:dyDescent="0.25">
      <c r="A60" s="52"/>
      <c r="B60" s="52"/>
      <c r="C60" s="53"/>
      <c r="D60" s="53"/>
      <c r="E60" s="53"/>
      <c r="F60" s="53"/>
      <c r="G60" s="52"/>
      <c r="H60" s="91"/>
      <c r="I60" s="91"/>
      <c r="J60" s="91"/>
      <c r="K60" s="92"/>
      <c r="L60" s="92"/>
    </row>
    <row r="61" spans="1:126" ht="19" x14ac:dyDescent="0.25">
      <c r="A61" s="63"/>
      <c r="B61" s="52"/>
      <c r="C61" s="53"/>
      <c r="D61" s="53"/>
      <c r="E61" s="53"/>
      <c r="F61" s="53"/>
      <c r="G61" s="52"/>
      <c r="H61" s="91"/>
      <c r="I61" s="91"/>
      <c r="J61" s="91"/>
      <c r="K61" s="92"/>
      <c r="L61" s="92"/>
    </row>
    <row r="62" spans="1:126" x14ac:dyDescent="0.2">
      <c r="A62" s="63"/>
    </row>
    <row r="66" spans="1:1" x14ac:dyDescent="0.2">
      <c r="A66" s="63"/>
    </row>
    <row r="67" spans="1:1" x14ac:dyDescent="0.2">
      <c r="A67" s="63"/>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AFA42DC2-7CC8-4DAD-BD60-70541DF10FE1}">
          <x14:formula1>
            <xm:f>' Parametros, no tocar'!$B$4:$B$5</xm:f>
          </x14:formula1>
          <xm:sqref>E2:E6 E8:E10 E12 E14 E16:E22 E24:E25 E27:E28 E30:E31 E33:E34 E36:E37 E39:E40 E42 E44 E46:E47 E49:E50 E52</xm:sqref>
        </x14:dataValidation>
        <x14:dataValidation type="list" allowBlank="1" showInputMessage="1" showErrorMessage="1" xr:uid="{A7823F2D-27BA-4BC8-AF3D-F7DC1B974E7C}">
          <x14:formula1>
            <xm:f>' Parametros, no tocar'!$F$4:$F$10</xm:f>
          </x14:formula1>
          <xm:sqref>F2:F6 F8:F10 F12 F14 F16:F22 F24:F25 F27:F28 F30:F31 F33:F34 F36:F37 F39:F40 F42 F44 F46:F47 F49:F50 F52</xm:sqref>
        </x14:dataValidation>
        <x14:dataValidation type="list" allowBlank="1" showInputMessage="1" showErrorMessage="1" xr:uid="{8394A58B-4F2D-4EC4-A150-0528A7A9784C}">
          <x14:formula1>
            <xm:f>' Parametros, no tocar'!$B$8:$B$11</xm:f>
          </x14:formula1>
          <xm:sqref>H3:H6 H8:H10 H12 H14 H16:H22 H24:H25 H27:H28 H30:H31 H33:H34 H36:H37 H39:H40 H42 H44 H46:H47 H49:H50 H52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DDF2C-B3BF-4A49-98D4-5F548FB16D90}">
  <sheetPr>
    <tabColor theme="9" tint="0.59999389629810485"/>
  </sheetPr>
  <dimension ref="A1:F62"/>
  <sheetViews>
    <sheetView zoomScale="112" workbookViewId="0">
      <pane ySplit="1" topLeftCell="A2" activePane="bottomLeft" state="frozen"/>
      <selection pane="bottomLeft" activeCell="C51" sqref="C51:D51"/>
    </sheetView>
  </sheetViews>
  <sheetFormatPr baseColWidth="10" defaultRowHeight="16" x14ac:dyDescent="0.2"/>
  <cols>
    <col min="1" max="1" width="46" customWidth="1"/>
    <col min="2" max="2" width="108" customWidth="1"/>
    <col min="3" max="3" width="23.6640625" customWidth="1"/>
  </cols>
  <sheetData>
    <row r="1" spans="1:6" x14ac:dyDescent="0.2">
      <c r="A1" s="103" t="s">
        <v>717</v>
      </c>
      <c r="B1" s="103" t="s">
        <v>613</v>
      </c>
      <c r="C1" s="105" t="s">
        <v>204</v>
      </c>
      <c r="D1" s="105"/>
      <c r="E1" s="63"/>
    </row>
    <row r="2" spans="1:6" ht="19" x14ac:dyDescent="0.2">
      <c r="A2" s="65" t="s">
        <v>326</v>
      </c>
      <c r="B2" s="64"/>
      <c r="C2" s="64"/>
      <c r="D2" s="64"/>
      <c r="E2" s="62"/>
    </row>
    <row r="3" spans="1:6" x14ac:dyDescent="0.2">
      <c r="A3" s="62" t="s">
        <v>327</v>
      </c>
      <c r="B3" t="s">
        <v>753</v>
      </c>
      <c r="C3" s="105"/>
      <c r="D3" s="105"/>
      <c r="E3" s="62"/>
    </row>
    <row r="4" spans="1:6" x14ac:dyDescent="0.2">
      <c r="A4" s="62" t="s">
        <v>331</v>
      </c>
      <c r="B4" t="s">
        <v>755</v>
      </c>
      <c r="C4" s="105"/>
      <c r="D4" s="105"/>
      <c r="E4" s="71"/>
    </row>
    <row r="5" spans="1:6" x14ac:dyDescent="0.2">
      <c r="A5" s="62" t="s">
        <v>333</v>
      </c>
      <c r="B5" t="s">
        <v>754</v>
      </c>
      <c r="C5" s="105"/>
      <c r="D5" s="105"/>
      <c r="E5" s="71"/>
      <c r="F5" s="63"/>
    </row>
    <row r="6" spans="1:6" x14ac:dyDescent="0.2">
      <c r="A6" s="62" t="s">
        <v>335</v>
      </c>
      <c r="B6" t="s">
        <v>762</v>
      </c>
      <c r="C6" s="105"/>
      <c r="D6" s="105"/>
      <c r="E6" s="62"/>
      <c r="F6" s="62"/>
    </row>
    <row r="7" spans="1:6" ht="19" x14ac:dyDescent="0.2">
      <c r="A7" s="65" t="s">
        <v>338</v>
      </c>
      <c r="B7" s="64"/>
      <c r="C7" s="64"/>
      <c r="D7" s="64"/>
      <c r="E7" s="63"/>
      <c r="F7" s="62"/>
    </row>
    <row r="8" spans="1:6" x14ac:dyDescent="0.2">
      <c r="A8" s="62" t="s">
        <v>339</v>
      </c>
      <c r="B8" t="s">
        <v>756</v>
      </c>
      <c r="C8" s="105"/>
      <c r="D8" s="105"/>
      <c r="E8" s="62"/>
      <c r="F8" s="71"/>
    </row>
    <row r="9" spans="1:6" x14ac:dyDescent="0.2">
      <c r="A9" s="62" t="s">
        <v>341</v>
      </c>
      <c r="B9" t="s">
        <v>757</v>
      </c>
      <c r="C9" s="105"/>
      <c r="D9" s="105"/>
      <c r="E9" s="62"/>
      <c r="F9" s="62"/>
    </row>
    <row r="10" spans="1:6" x14ac:dyDescent="0.2">
      <c r="A10" s="62" t="s">
        <v>343</v>
      </c>
      <c r="B10" t="s">
        <v>767</v>
      </c>
      <c r="C10" s="105"/>
      <c r="D10" s="105"/>
      <c r="E10" s="71"/>
      <c r="F10" s="63"/>
    </row>
    <row r="11" spans="1:6" ht="19" x14ac:dyDescent="0.2">
      <c r="A11" s="65" t="s">
        <v>346</v>
      </c>
      <c r="B11" s="64"/>
      <c r="C11" s="64"/>
      <c r="D11" s="64"/>
      <c r="E11" s="62"/>
      <c r="F11" s="62"/>
    </row>
    <row r="12" spans="1:6" x14ac:dyDescent="0.2">
      <c r="A12" s="62" t="s">
        <v>347</v>
      </c>
      <c r="B12" t="s">
        <v>758</v>
      </c>
      <c r="C12" s="105"/>
      <c r="D12" s="105"/>
      <c r="E12" s="63"/>
      <c r="F12" s="71"/>
    </row>
    <row r="13" spans="1:6" ht="19" x14ac:dyDescent="0.2">
      <c r="A13" s="65" t="s">
        <v>115</v>
      </c>
      <c r="B13" s="64"/>
      <c r="C13" s="64"/>
      <c r="D13" s="64"/>
      <c r="E13" s="62"/>
      <c r="F13" s="62"/>
    </row>
    <row r="14" spans="1:6" x14ac:dyDescent="0.2">
      <c r="A14" s="62" t="s">
        <v>349</v>
      </c>
      <c r="B14" t="s">
        <v>759</v>
      </c>
      <c r="C14" s="105"/>
      <c r="D14" s="105"/>
      <c r="E14" s="62"/>
      <c r="F14" s="63"/>
    </row>
    <row r="15" spans="1:6" ht="19" x14ac:dyDescent="0.2">
      <c r="A15" s="65" t="s">
        <v>351</v>
      </c>
      <c r="B15" s="64"/>
      <c r="C15" s="64"/>
      <c r="D15" s="64"/>
      <c r="E15" s="71"/>
      <c r="F15" s="62"/>
    </row>
    <row r="16" spans="1:6" x14ac:dyDescent="0.2">
      <c r="A16" s="62" t="s">
        <v>352</v>
      </c>
      <c r="B16" t="s">
        <v>760</v>
      </c>
      <c r="C16" s="105"/>
      <c r="D16" s="105"/>
      <c r="E16" s="62"/>
      <c r="F16" s="62"/>
    </row>
    <row r="17" spans="1:6" x14ac:dyDescent="0.2">
      <c r="A17" s="62" t="s">
        <v>354</v>
      </c>
      <c r="B17" t="s">
        <v>754</v>
      </c>
      <c r="C17" s="105"/>
      <c r="D17" s="105"/>
      <c r="E17" s="63"/>
      <c r="F17" s="71"/>
    </row>
    <row r="18" spans="1:6" x14ac:dyDescent="0.2">
      <c r="A18" s="62" t="s">
        <v>356</v>
      </c>
      <c r="B18" t="s">
        <v>768</v>
      </c>
      <c r="C18" s="105"/>
      <c r="D18" s="105"/>
      <c r="E18" s="62"/>
      <c r="F18" s="62"/>
    </row>
    <row r="19" spans="1:6" x14ac:dyDescent="0.2">
      <c r="A19" s="62" t="s">
        <v>358</v>
      </c>
      <c r="B19" t="s">
        <v>778</v>
      </c>
      <c r="C19" s="105"/>
      <c r="D19" s="105"/>
      <c r="E19" s="62"/>
      <c r="F19" s="63"/>
    </row>
    <row r="20" spans="1:6" x14ac:dyDescent="0.2">
      <c r="A20" s="62" t="s">
        <v>360</v>
      </c>
      <c r="B20" t="s">
        <v>769</v>
      </c>
      <c r="C20" s="105"/>
      <c r="D20" s="105"/>
      <c r="E20" s="71"/>
      <c r="F20" s="62"/>
    </row>
    <row r="21" spans="1:6" x14ac:dyDescent="0.2">
      <c r="A21" s="62" t="s">
        <v>362</v>
      </c>
      <c r="B21" t="s">
        <v>761</v>
      </c>
      <c r="C21" s="105"/>
      <c r="D21" s="105"/>
      <c r="E21" s="62"/>
      <c r="F21" s="62"/>
    </row>
    <row r="22" spans="1:6" x14ac:dyDescent="0.2">
      <c r="A22" s="62" t="s">
        <v>364</v>
      </c>
      <c r="B22" t="s">
        <v>768</v>
      </c>
      <c r="C22" s="105"/>
      <c r="D22" s="105"/>
      <c r="E22" s="63"/>
      <c r="F22" s="71"/>
    </row>
    <row r="23" spans="1:6" ht="19" x14ac:dyDescent="0.2">
      <c r="A23" s="65" t="s">
        <v>366</v>
      </c>
      <c r="B23" s="64"/>
      <c r="C23" s="64"/>
      <c r="D23" s="64"/>
      <c r="E23" s="62"/>
      <c r="F23" s="62"/>
    </row>
    <row r="24" spans="1:6" x14ac:dyDescent="0.2">
      <c r="A24" s="62" t="s">
        <v>367</v>
      </c>
      <c r="B24" t="s">
        <v>754</v>
      </c>
      <c r="C24" s="105"/>
      <c r="D24" s="105"/>
      <c r="E24" s="62"/>
      <c r="F24" s="63"/>
    </row>
    <row r="25" spans="1:6" x14ac:dyDescent="0.2">
      <c r="A25" s="62" t="s">
        <v>369</v>
      </c>
      <c r="B25" t="s">
        <v>762</v>
      </c>
      <c r="C25" s="105"/>
      <c r="D25" s="105"/>
      <c r="E25" s="71"/>
      <c r="F25" s="62"/>
    </row>
    <row r="26" spans="1:6" ht="19" x14ac:dyDescent="0.2">
      <c r="A26" s="65" t="s">
        <v>371</v>
      </c>
      <c r="B26" s="64"/>
      <c r="C26" s="64"/>
      <c r="D26" s="64"/>
      <c r="E26" s="71"/>
      <c r="F26" s="62"/>
    </row>
    <row r="27" spans="1:6" x14ac:dyDescent="0.2">
      <c r="A27" s="62" t="s">
        <v>372</v>
      </c>
      <c r="B27" t="s">
        <v>763</v>
      </c>
      <c r="C27" s="105"/>
      <c r="D27" s="105"/>
    </row>
    <row r="28" spans="1:6" x14ac:dyDescent="0.2">
      <c r="A28" s="62" t="s">
        <v>374</v>
      </c>
      <c r="B28" t="s">
        <v>762</v>
      </c>
      <c r="C28" s="105"/>
      <c r="D28" s="105"/>
    </row>
    <row r="29" spans="1:6" ht="19" x14ac:dyDescent="0.2">
      <c r="A29" s="65" t="s">
        <v>376</v>
      </c>
      <c r="B29" s="64"/>
      <c r="C29" s="64"/>
      <c r="D29" s="64"/>
    </row>
    <row r="30" spans="1:6" x14ac:dyDescent="0.2">
      <c r="A30" s="73" t="s">
        <v>377</v>
      </c>
      <c r="B30" t="s">
        <v>764</v>
      </c>
      <c r="C30" s="105"/>
      <c r="D30" s="105"/>
    </row>
    <row r="31" spans="1:6" x14ac:dyDescent="0.2">
      <c r="A31" s="62" t="s">
        <v>745</v>
      </c>
      <c r="B31" t="s">
        <v>768</v>
      </c>
      <c r="C31" s="105"/>
      <c r="D31" s="105"/>
    </row>
    <row r="32" spans="1:6" ht="19" x14ac:dyDescent="0.2">
      <c r="A32" s="65" t="s">
        <v>379</v>
      </c>
      <c r="B32" s="64"/>
      <c r="C32" s="64"/>
      <c r="D32" s="64"/>
      <c r="E32" s="139"/>
    </row>
    <row r="33" spans="1:5" x14ac:dyDescent="0.2">
      <c r="A33" s="62" t="s">
        <v>719</v>
      </c>
      <c r="B33" t="s">
        <v>770</v>
      </c>
      <c r="C33" s="105"/>
      <c r="D33" s="121"/>
    </row>
    <row r="34" spans="1:5" x14ac:dyDescent="0.2">
      <c r="A34" s="62" t="s">
        <v>721</v>
      </c>
      <c r="B34" t="s">
        <v>771</v>
      </c>
      <c r="C34" s="105"/>
      <c r="D34" s="121"/>
    </row>
    <row r="35" spans="1:5" ht="19" x14ac:dyDescent="0.2">
      <c r="A35" s="65" t="s">
        <v>380</v>
      </c>
      <c r="B35" s="64"/>
      <c r="C35" s="64"/>
      <c r="D35" s="64"/>
    </row>
    <row r="36" spans="1:5" x14ac:dyDescent="0.2">
      <c r="A36" s="62" t="s">
        <v>724</v>
      </c>
      <c r="B36" t="s">
        <v>773</v>
      </c>
      <c r="C36" s="105"/>
      <c r="D36" s="86"/>
      <c r="E36" s="140"/>
    </row>
    <row r="37" spans="1:5" x14ac:dyDescent="0.2">
      <c r="A37" s="62" t="s">
        <v>725</v>
      </c>
      <c r="B37" t="s">
        <v>772</v>
      </c>
      <c r="C37" s="105"/>
      <c r="D37" s="141"/>
    </row>
    <row r="38" spans="1:5" ht="19" x14ac:dyDescent="0.2">
      <c r="A38" s="65" t="s">
        <v>381</v>
      </c>
      <c r="B38" s="64"/>
      <c r="C38" s="64"/>
      <c r="D38" s="64"/>
    </row>
    <row r="39" spans="1:5" x14ac:dyDescent="0.2">
      <c r="A39" s="62" t="s">
        <v>726</v>
      </c>
      <c r="B39" t="s">
        <v>775</v>
      </c>
      <c r="C39" s="105"/>
      <c r="D39" s="86"/>
    </row>
    <row r="40" spans="1:5" x14ac:dyDescent="0.2">
      <c r="A40" s="62" t="s">
        <v>728</v>
      </c>
      <c r="B40" t="s">
        <v>774</v>
      </c>
      <c r="C40" s="105"/>
      <c r="D40" s="86"/>
    </row>
    <row r="41" spans="1:5" ht="19" x14ac:dyDescent="0.2">
      <c r="A41" s="65" t="s">
        <v>382</v>
      </c>
      <c r="B41" s="64"/>
      <c r="C41" s="64"/>
      <c r="D41" s="64"/>
      <c r="E41" s="62"/>
    </row>
    <row r="42" spans="1:5" x14ac:dyDescent="0.2">
      <c r="A42" s="62" t="s">
        <v>730</v>
      </c>
      <c r="B42" t="s">
        <v>765</v>
      </c>
      <c r="C42" s="105"/>
      <c r="D42" s="105"/>
    </row>
    <row r="43" spans="1:5" ht="19" x14ac:dyDescent="0.2">
      <c r="A43" s="65" t="s">
        <v>383</v>
      </c>
      <c r="B43" s="64"/>
      <c r="C43" s="64"/>
      <c r="D43" s="64"/>
    </row>
    <row r="44" spans="1:5" x14ac:dyDescent="0.2">
      <c r="A44" s="62" t="s">
        <v>732</v>
      </c>
      <c r="B44" t="s">
        <v>766</v>
      </c>
      <c r="C44" s="105"/>
      <c r="D44" s="86"/>
    </row>
    <row r="45" spans="1:5" ht="19" x14ac:dyDescent="0.2">
      <c r="A45" s="65" t="s">
        <v>384</v>
      </c>
      <c r="B45" s="143"/>
      <c r="C45" s="64"/>
      <c r="D45" s="64"/>
    </row>
    <row r="46" spans="1:5" x14ac:dyDescent="0.2">
      <c r="A46" s="62" t="s">
        <v>734</v>
      </c>
      <c r="B46" t="s">
        <v>776</v>
      </c>
      <c r="C46" s="105"/>
      <c r="D46" s="86"/>
    </row>
    <row r="47" spans="1:5" x14ac:dyDescent="0.2">
      <c r="A47" s="62" t="s">
        <v>736</v>
      </c>
      <c r="B47" t="s">
        <v>847</v>
      </c>
      <c r="C47" s="105"/>
      <c r="D47" s="86"/>
    </row>
    <row r="48" spans="1:5" ht="19" x14ac:dyDescent="0.2">
      <c r="A48" s="65" t="s">
        <v>385</v>
      </c>
      <c r="B48" s="64"/>
      <c r="C48" s="64"/>
      <c r="D48" s="64"/>
    </row>
    <row r="49" spans="1:4" x14ac:dyDescent="0.2">
      <c r="A49" s="62" t="s">
        <v>738</v>
      </c>
      <c r="B49" t="s">
        <v>777</v>
      </c>
      <c r="C49" s="105"/>
      <c r="D49" s="86"/>
    </row>
    <row r="50" spans="1:4" x14ac:dyDescent="0.2">
      <c r="A50" s="62" t="s">
        <v>740</v>
      </c>
      <c r="B50" t="s">
        <v>780</v>
      </c>
      <c r="C50" s="105"/>
      <c r="D50" s="105"/>
    </row>
    <row r="51" spans="1:4" ht="19" x14ac:dyDescent="0.2">
      <c r="A51" s="65" t="s">
        <v>646</v>
      </c>
      <c r="B51" s="64"/>
      <c r="C51" s="64"/>
      <c r="D51" s="64"/>
    </row>
    <row r="52" spans="1:4" x14ac:dyDescent="0.2">
      <c r="C52" s="105"/>
      <c r="D52" s="105"/>
    </row>
    <row r="53" spans="1:4" ht="5" customHeight="1" x14ac:dyDescent="0.2">
      <c r="A53" s="137"/>
      <c r="B53" s="137"/>
      <c r="C53" s="137"/>
      <c r="D53" s="137"/>
    </row>
    <row r="57" spans="1:4" ht="19" x14ac:dyDescent="0.25">
      <c r="A57" s="52"/>
    </row>
    <row r="58" spans="1:4" ht="19" x14ac:dyDescent="0.25">
      <c r="A58" s="52"/>
    </row>
    <row r="59" spans="1:4" ht="19" x14ac:dyDescent="0.25">
      <c r="A59" s="52"/>
    </row>
    <row r="60" spans="1:4" ht="19" x14ac:dyDescent="0.25">
      <c r="A60" s="52"/>
    </row>
    <row r="61" spans="1:4" x14ac:dyDescent="0.2">
      <c r="A61" s="63"/>
    </row>
    <row r="62" spans="1:4" x14ac:dyDescent="0.2">
      <c r="A62" s="63"/>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3EB89-587D-4C44-A660-89882F9CBE54}">
  <sheetPr>
    <tabColor theme="9" tint="0.59999389629810485"/>
  </sheetPr>
  <dimension ref="A1:AF54"/>
  <sheetViews>
    <sheetView zoomScaleNormal="100" workbookViewId="0">
      <pane xSplit="1" ySplit="1" topLeftCell="B11" activePane="bottomRight" state="frozen"/>
      <selection pane="topRight" activeCell="B1" sqref="B1"/>
      <selection pane="bottomLeft" activeCell="A2" sqref="A2"/>
      <selection pane="bottomRight" activeCell="I38" sqref="I38:I39"/>
    </sheetView>
  </sheetViews>
  <sheetFormatPr baseColWidth="10" defaultColWidth="11" defaultRowHeight="16" x14ac:dyDescent="0.2"/>
  <cols>
    <col min="1" max="1" width="88.33203125" customWidth="1"/>
    <col min="2" max="2" width="6.83203125" customWidth="1"/>
    <col min="3" max="3" width="112.83203125" customWidth="1"/>
    <col min="4" max="6" width="11.33203125" style="1" customWidth="1"/>
    <col min="7" max="7" width="12.83203125" style="1" customWidth="1"/>
    <col min="8" max="9" width="11.33203125" style="1" customWidth="1"/>
    <col min="10" max="10" width="11.6640625" customWidth="1"/>
    <col min="11" max="11" width="29.83203125" customWidth="1"/>
    <col min="12" max="12" width="12.83203125" customWidth="1"/>
  </cols>
  <sheetData>
    <row r="1" spans="1:32" s="44" customFormat="1" ht="116" customHeight="1" x14ac:dyDescent="0.25">
      <c r="A1" s="43" t="s">
        <v>779</v>
      </c>
      <c r="B1" s="43" t="s">
        <v>805</v>
      </c>
      <c r="C1" s="43" t="s">
        <v>52</v>
      </c>
      <c r="D1" s="42" t="s">
        <v>123</v>
      </c>
      <c r="E1" s="45" t="s">
        <v>124</v>
      </c>
      <c r="F1" s="151" t="s">
        <v>20</v>
      </c>
      <c r="G1" s="42" t="s">
        <v>125</v>
      </c>
      <c r="H1" s="45" t="s">
        <v>126</v>
      </c>
      <c r="I1" s="45" t="s">
        <v>127</v>
      </c>
      <c r="J1" s="42" t="s">
        <v>128</v>
      </c>
      <c r="K1" s="45" t="s">
        <v>129</v>
      </c>
      <c r="L1" s="42" t="s">
        <v>130</v>
      </c>
      <c r="M1" s="197" t="s">
        <v>131</v>
      </c>
      <c r="N1" s="197"/>
    </row>
    <row r="2" spans="1:32" s="40" customFormat="1" ht="19" x14ac:dyDescent="0.25">
      <c r="A2" s="65" t="s">
        <v>386</v>
      </c>
      <c r="B2" s="65"/>
      <c r="C2" s="87"/>
      <c r="D2" s="87"/>
      <c r="E2" s="87"/>
      <c r="F2" s="87"/>
      <c r="G2" s="87"/>
      <c r="H2" s="87"/>
      <c r="I2" s="87"/>
      <c r="J2" s="87"/>
      <c r="K2" s="87"/>
      <c r="L2" s="87"/>
      <c r="M2" s="87"/>
      <c r="N2" s="87"/>
    </row>
    <row r="3" spans="1:32" s="40" customFormat="1" ht="19" x14ac:dyDescent="0.25">
      <c r="A3" s="62" t="s">
        <v>387</v>
      </c>
      <c r="B3" s="62">
        <v>1</v>
      </c>
      <c r="C3" s="62" t="s">
        <v>388</v>
      </c>
      <c r="D3" s="62" t="s">
        <v>135</v>
      </c>
      <c r="E3" s="86"/>
      <c r="F3" s="86"/>
      <c r="G3" s="62" t="s">
        <v>137</v>
      </c>
      <c r="H3" s="105"/>
      <c r="I3" s="180">
        <v>0</v>
      </c>
      <c r="J3" s="62" t="s">
        <v>144</v>
      </c>
      <c r="K3" s="86"/>
      <c r="L3" s="62" t="s">
        <v>140</v>
      </c>
      <c r="M3" s="62" t="s">
        <v>181</v>
      </c>
      <c r="N3" s="62"/>
      <c r="O3" s="62"/>
      <c r="P3" s="62"/>
      <c r="Q3" s="62"/>
      <c r="R3" s="62"/>
      <c r="S3" s="62"/>
      <c r="T3" s="62"/>
      <c r="U3" s="62"/>
      <c r="V3" s="62"/>
      <c r="W3" s="62"/>
      <c r="X3" s="62"/>
      <c r="Y3" s="62"/>
      <c r="Z3" s="62"/>
      <c r="AA3" s="62"/>
      <c r="AB3" s="62"/>
      <c r="AC3" s="62"/>
      <c r="AD3" s="62"/>
      <c r="AE3" s="62"/>
      <c r="AF3" s="62"/>
    </row>
    <row r="4" spans="1:32" s="40" customFormat="1" ht="19" x14ac:dyDescent="0.25">
      <c r="A4" s="62" t="s">
        <v>389</v>
      </c>
      <c r="B4" s="62">
        <v>2</v>
      </c>
      <c r="C4" s="62" t="s">
        <v>390</v>
      </c>
      <c r="D4" s="62" t="s">
        <v>135</v>
      </c>
      <c r="E4" s="86"/>
      <c r="F4" s="86"/>
      <c r="G4" s="62" t="s">
        <v>137</v>
      </c>
      <c r="H4" s="105"/>
      <c r="I4" s="180">
        <v>0</v>
      </c>
      <c r="J4" s="62" t="s">
        <v>147</v>
      </c>
      <c r="K4" s="86"/>
      <c r="L4" s="62" t="s">
        <v>140</v>
      </c>
      <c r="M4" s="62" t="s">
        <v>181</v>
      </c>
      <c r="N4" s="62"/>
      <c r="O4" s="62"/>
      <c r="P4" s="62"/>
      <c r="Q4" s="62"/>
      <c r="R4" s="62"/>
      <c r="S4" s="62"/>
      <c r="T4" s="62"/>
      <c r="U4" s="62"/>
      <c r="V4" s="62"/>
      <c r="W4" s="62"/>
      <c r="X4" s="62"/>
      <c r="Y4" s="62"/>
      <c r="Z4" s="62"/>
      <c r="AA4" s="62"/>
      <c r="AB4" s="62"/>
      <c r="AC4" s="62"/>
      <c r="AD4" s="62"/>
      <c r="AE4" s="62"/>
      <c r="AF4" s="62"/>
    </row>
    <row r="5" spans="1:32" s="40" customFormat="1" ht="19" x14ac:dyDescent="0.25">
      <c r="A5" s="62" t="s">
        <v>391</v>
      </c>
      <c r="B5" s="62">
        <v>3</v>
      </c>
      <c r="C5" s="62" t="s">
        <v>392</v>
      </c>
      <c r="D5" s="62" t="s">
        <v>135</v>
      </c>
      <c r="E5" s="86"/>
      <c r="F5" s="86"/>
      <c r="G5" s="62" t="s">
        <v>137</v>
      </c>
      <c r="H5" s="105"/>
      <c r="I5" s="180">
        <v>0</v>
      </c>
      <c r="J5" s="62" t="s">
        <v>144</v>
      </c>
      <c r="K5" s="86"/>
      <c r="L5" s="62" t="s">
        <v>140</v>
      </c>
      <c r="M5" s="62" t="s">
        <v>181</v>
      </c>
      <c r="N5" s="62"/>
      <c r="O5" s="62"/>
      <c r="P5" s="62"/>
      <c r="Q5" s="62"/>
      <c r="R5" s="62"/>
      <c r="S5" s="62"/>
      <c r="T5" s="62"/>
      <c r="U5" s="62"/>
      <c r="V5" s="62"/>
      <c r="W5" s="62"/>
      <c r="X5" s="62"/>
      <c r="Y5" s="62"/>
      <c r="Z5" s="62"/>
      <c r="AA5" s="62"/>
      <c r="AB5" s="62"/>
      <c r="AC5" s="62"/>
      <c r="AD5" s="62"/>
      <c r="AE5" s="62"/>
      <c r="AF5" s="62"/>
    </row>
    <row r="6" spans="1:32" s="40" customFormat="1" ht="19" x14ac:dyDescent="0.25">
      <c r="A6" s="62" t="s">
        <v>393</v>
      </c>
      <c r="B6" s="62">
        <v>4</v>
      </c>
      <c r="C6" s="62" t="s">
        <v>394</v>
      </c>
      <c r="D6" s="62" t="s">
        <v>135</v>
      </c>
      <c r="E6" s="86"/>
      <c r="F6" s="86"/>
      <c r="G6" s="62" t="s">
        <v>137</v>
      </c>
      <c r="H6" s="105"/>
      <c r="I6" s="180">
        <v>0</v>
      </c>
      <c r="J6" s="62" t="s">
        <v>144</v>
      </c>
      <c r="K6" s="86"/>
      <c r="L6" s="62" t="s">
        <v>140</v>
      </c>
      <c r="M6" s="62" t="s">
        <v>181</v>
      </c>
      <c r="N6" s="62"/>
      <c r="O6" s="62"/>
      <c r="P6" s="62"/>
      <c r="Q6" s="62"/>
      <c r="R6" s="62"/>
      <c r="S6" s="62"/>
      <c r="T6" s="62"/>
      <c r="U6" s="62"/>
      <c r="V6" s="62"/>
      <c r="W6" s="62"/>
      <c r="X6" s="62"/>
      <c r="Y6" s="62"/>
      <c r="Z6" s="62"/>
      <c r="AA6" s="62"/>
      <c r="AB6" s="62"/>
      <c r="AC6" s="62"/>
      <c r="AD6" s="62"/>
      <c r="AE6" s="62"/>
      <c r="AF6" s="62"/>
    </row>
    <row r="7" spans="1:32" s="40" customFormat="1" ht="19" x14ac:dyDescent="0.25">
      <c r="A7" s="62" t="s">
        <v>395</v>
      </c>
      <c r="B7" s="62">
        <v>5</v>
      </c>
      <c r="C7" s="62" t="s">
        <v>396</v>
      </c>
      <c r="D7" s="62" t="s">
        <v>144</v>
      </c>
      <c r="E7" s="86"/>
      <c r="F7" s="86"/>
      <c r="G7" s="62" t="s">
        <v>137</v>
      </c>
      <c r="H7" s="105"/>
      <c r="I7" s="180">
        <v>0</v>
      </c>
      <c r="J7" s="62" t="s">
        <v>144</v>
      </c>
      <c r="K7" s="86"/>
      <c r="L7" s="62" t="s">
        <v>140</v>
      </c>
      <c r="M7" s="62" t="s">
        <v>181</v>
      </c>
      <c r="N7" s="62"/>
      <c r="O7" s="62"/>
      <c r="P7" s="62"/>
      <c r="Q7" s="62"/>
      <c r="R7" s="62"/>
      <c r="S7" s="62"/>
      <c r="T7" s="62"/>
      <c r="U7" s="62"/>
      <c r="V7" s="62"/>
      <c r="W7" s="62"/>
      <c r="X7" s="62"/>
      <c r="Y7" s="62"/>
      <c r="Z7" s="62"/>
      <c r="AA7" s="62"/>
      <c r="AB7" s="62"/>
      <c r="AC7" s="62"/>
      <c r="AD7" s="62"/>
      <c r="AE7" s="62"/>
      <c r="AF7" s="62"/>
    </row>
    <row r="8" spans="1:32" s="40" customFormat="1" ht="19" x14ac:dyDescent="0.25">
      <c r="A8" s="62" t="s">
        <v>397</v>
      </c>
      <c r="B8" s="62">
        <v>7</v>
      </c>
      <c r="C8" s="62" t="s">
        <v>398</v>
      </c>
      <c r="D8" s="62" t="s">
        <v>135</v>
      </c>
      <c r="E8" s="86"/>
      <c r="F8" s="86"/>
      <c r="G8" s="62" t="s">
        <v>137</v>
      </c>
      <c r="H8" s="105"/>
      <c r="I8" s="180">
        <v>0</v>
      </c>
      <c r="J8" s="62" t="s">
        <v>147</v>
      </c>
      <c r="K8" s="86"/>
      <c r="L8" s="62" t="s">
        <v>140</v>
      </c>
      <c r="M8" s="62" t="s">
        <v>148</v>
      </c>
      <c r="N8" s="62"/>
      <c r="O8" s="62"/>
      <c r="P8" s="62"/>
      <c r="Q8" s="62"/>
      <c r="R8" s="62"/>
      <c r="S8" s="62"/>
      <c r="T8" s="62"/>
      <c r="U8" s="62"/>
      <c r="V8" s="62"/>
      <c r="W8" s="62"/>
      <c r="X8" s="62"/>
      <c r="Y8" s="62"/>
      <c r="Z8" s="62"/>
      <c r="AA8" s="62"/>
      <c r="AB8" s="62"/>
      <c r="AC8" s="62"/>
      <c r="AD8" s="62"/>
      <c r="AE8" s="62"/>
      <c r="AF8" s="62"/>
    </row>
    <row r="9" spans="1:32" s="40" customFormat="1" ht="19" x14ac:dyDescent="0.25">
      <c r="A9" s="62" t="s">
        <v>399</v>
      </c>
      <c r="B9" s="62">
        <v>8</v>
      </c>
      <c r="C9" s="62" t="s">
        <v>400</v>
      </c>
      <c r="D9" s="62" t="s">
        <v>135</v>
      </c>
      <c r="E9" s="86"/>
      <c r="F9" s="86"/>
      <c r="G9" s="62" t="s">
        <v>137</v>
      </c>
      <c r="H9" s="105"/>
      <c r="I9" s="180">
        <v>0</v>
      </c>
      <c r="J9" s="62" t="s">
        <v>144</v>
      </c>
      <c r="K9" s="86"/>
      <c r="L9" s="62" t="s">
        <v>140</v>
      </c>
      <c r="M9" s="62" t="s">
        <v>181</v>
      </c>
      <c r="N9" s="62"/>
      <c r="O9" s="62"/>
      <c r="P9" s="62"/>
      <c r="Q9" s="62"/>
      <c r="R9" s="62"/>
      <c r="S9" s="62"/>
      <c r="T9" s="62"/>
      <c r="U9" s="62"/>
      <c r="V9" s="62"/>
      <c r="W9" s="62"/>
      <c r="X9" s="62"/>
      <c r="Y9" s="62"/>
      <c r="Z9" s="62"/>
      <c r="AA9" s="62"/>
      <c r="AB9" s="62"/>
      <c r="AC9" s="62"/>
      <c r="AD9" s="62"/>
      <c r="AE9" s="62"/>
      <c r="AF9" s="62"/>
    </row>
    <row r="10" spans="1:32" s="40" customFormat="1" ht="19" x14ac:dyDescent="0.25">
      <c r="A10" s="62" t="s">
        <v>401</v>
      </c>
      <c r="B10" s="62">
        <v>9</v>
      </c>
      <c r="C10" s="62" t="s">
        <v>402</v>
      </c>
      <c r="D10" s="62" t="s">
        <v>135</v>
      </c>
      <c r="E10" s="86"/>
      <c r="F10" s="86"/>
      <c r="G10" s="62" t="s">
        <v>135</v>
      </c>
      <c r="H10" s="105"/>
      <c r="I10" s="180">
        <v>0</v>
      </c>
      <c r="J10" s="62" t="s">
        <v>147</v>
      </c>
      <c r="K10" s="86"/>
      <c r="L10" s="62" t="s">
        <v>140</v>
      </c>
      <c r="M10" s="62" t="s">
        <v>181</v>
      </c>
      <c r="N10" s="62"/>
      <c r="O10" s="62"/>
      <c r="P10" s="62"/>
      <c r="Q10" s="62"/>
      <c r="R10" s="62"/>
      <c r="S10" s="62"/>
      <c r="T10" s="62"/>
      <c r="U10" s="62"/>
      <c r="V10" s="62"/>
      <c r="W10" s="62"/>
      <c r="X10" s="62"/>
      <c r="Y10" s="62"/>
      <c r="Z10" s="62"/>
      <c r="AA10" s="62"/>
      <c r="AB10" s="62"/>
      <c r="AC10" s="62"/>
      <c r="AD10" s="62"/>
      <c r="AE10" s="62"/>
      <c r="AF10" s="62"/>
    </row>
    <row r="11" spans="1:32" s="40" customFormat="1" ht="19" x14ac:dyDescent="0.25">
      <c r="A11" s="62" t="s">
        <v>403</v>
      </c>
      <c r="B11" s="62">
        <v>10</v>
      </c>
      <c r="C11" s="62" t="s">
        <v>404</v>
      </c>
      <c r="D11" s="62" t="s">
        <v>135</v>
      </c>
      <c r="E11" s="86"/>
      <c r="F11" s="86"/>
      <c r="G11" s="62" t="s">
        <v>137</v>
      </c>
      <c r="H11" s="105"/>
      <c r="I11" s="180">
        <v>0</v>
      </c>
      <c r="J11" s="62" t="s">
        <v>144</v>
      </c>
      <c r="K11" s="86"/>
      <c r="L11" s="62" t="s">
        <v>140</v>
      </c>
      <c r="M11" s="62" t="s">
        <v>181</v>
      </c>
      <c r="N11" s="62"/>
      <c r="O11" s="62"/>
      <c r="P11" s="70"/>
      <c r="Q11" s="62"/>
      <c r="R11" s="62"/>
      <c r="S11" s="62"/>
      <c r="T11" s="62"/>
      <c r="U11" s="62"/>
      <c r="V11" s="62"/>
      <c r="W11" s="62"/>
      <c r="X11" s="62"/>
      <c r="Y11" s="62"/>
      <c r="Z11" s="62"/>
      <c r="AA11" s="62"/>
      <c r="AB11" s="62"/>
      <c r="AC11" s="62"/>
      <c r="AD11" s="62"/>
      <c r="AE11" s="62"/>
      <c r="AF11" s="62"/>
    </row>
    <row r="12" spans="1:32" s="40" customFormat="1" ht="19" x14ac:dyDescent="0.25">
      <c r="A12" s="65" t="s">
        <v>405</v>
      </c>
      <c r="B12" s="65"/>
      <c r="C12" s="88"/>
      <c r="D12" s="89"/>
      <c r="E12" s="90"/>
      <c r="F12" s="90"/>
      <c r="G12" s="89"/>
      <c r="H12" s="90"/>
      <c r="I12" s="90"/>
      <c r="J12" s="89"/>
      <c r="K12" s="87"/>
      <c r="L12" s="89"/>
      <c r="M12" s="88"/>
      <c r="N12" s="87"/>
      <c r="P12" s="70"/>
    </row>
    <row r="13" spans="1:32" s="40" customFormat="1" ht="19" x14ac:dyDescent="0.25">
      <c r="A13" s="62" t="s">
        <v>406</v>
      </c>
      <c r="B13" s="62">
        <v>11</v>
      </c>
      <c r="C13" s="62" t="s">
        <v>781</v>
      </c>
      <c r="D13" s="62" t="s">
        <v>135</v>
      </c>
      <c r="E13" s="86"/>
      <c r="F13" s="86"/>
      <c r="G13" s="62" t="s">
        <v>137</v>
      </c>
      <c r="H13" s="105"/>
      <c r="I13" s="180">
        <v>0</v>
      </c>
      <c r="J13" s="62" t="s">
        <v>147</v>
      </c>
      <c r="K13" s="86"/>
      <c r="L13" s="62" t="s">
        <v>140</v>
      </c>
      <c r="M13" s="62" t="s">
        <v>181</v>
      </c>
      <c r="N13" s="62"/>
      <c r="O13" s="62"/>
      <c r="P13" s="70"/>
      <c r="Q13" s="62"/>
      <c r="R13" s="62"/>
      <c r="S13" s="62"/>
      <c r="T13" s="62"/>
      <c r="U13" s="62"/>
      <c r="V13" s="62"/>
      <c r="W13" s="62"/>
      <c r="X13" s="62"/>
      <c r="Y13" s="62"/>
      <c r="Z13" s="62"/>
      <c r="AA13" s="62"/>
    </row>
    <row r="14" spans="1:32" s="40" customFormat="1" ht="19" x14ac:dyDescent="0.25">
      <c r="A14" s="62" t="s">
        <v>407</v>
      </c>
      <c r="B14" s="62">
        <v>12</v>
      </c>
      <c r="C14" s="62" t="s">
        <v>408</v>
      </c>
      <c r="D14" s="62" t="s">
        <v>135</v>
      </c>
      <c r="E14" s="86"/>
      <c r="F14" s="86"/>
      <c r="G14" s="62" t="s">
        <v>137</v>
      </c>
      <c r="H14" s="105"/>
      <c r="I14" s="180">
        <v>0</v>
      </c>
      <c r="J14" s="62" t="s">
        <v>147</v>
      </c>
      <c r="K14" s="86"/>
      <c r="L14" s="62" t="s">
        <v>140</v>
      </c>
      <c r="M14" s="62" t="s">
        <v>181</v>
      </c>
      <c r="N14" s="62"/>
      <c r="O14" s="62"/>
      <c r="P14" s="70"/>
      <c r="Q14" s="62"/>
      <c r="R14" s="62"/>
      <c r="S14" s="62"/>
      <c r="T14" s="62"/>
      <c r="U14" s="62"/>
      <c r="V14" s="62"/>
      <c r="W14" s="62"/>
      <c r="X14" s="62"/>
      <c r="Y14" s="62"/>
      <c r="Z14" s="62"/>
      <c r="AA14" s="62"/>
    </row>
    <row r="15" spans="1:32" s="40" customFormat="1" ht="19" x14ac:dyDescent="0.25">
      <c r="A15" s="65" t="s">
        <v>409</v>
      </c>
      <c r="B15" s="65"/>
      <c r="C15" s="88"/>
      <c r="D15" s="89"/>
      <c r="E15" s="90"/>
      <c r="F15" s="90"/>
      <c r="G15" s="89"/>
      <c r="H15" s="90"/>
      <c r="I15" s="90"/>
      <c r="J15" s="89"/>
      <c r="K15" s="87"/>
      <c r="L15" s="89"/>
      <c r="M15" s="88"/>
      <c r="N15" s="87"/>
      <c r="P15" s="70"/>
    </row>
    <row r="16" spans="1:32" s="40" customFormat="1" ht="19" x14ac:dyDescent="0.25">
      <c r="A16" s="62" t="s">
        <v>410</v>
      </c>
      <c r="B16" s="62">
        <v>13</v>
      </c>
      <c r="C16" s="62" t="s">
        <v>411</v>
      </c>
      <c r="D16" s="62" t="s">
        <v>135</v>
      </c>
      <c r="E16" s="86"/>
      <c r="F16" s="86"/>
      <c r="G16" s="62" t="s">
        <v>135</v>
      </c>
      <c r="H16" s="105"/>
      <c r="I16" s="180">
        <v>0</v>
      </c>
      <c r="J16" s="62" t="s">
        <v>147</v>
      </c>
      <c r="K16" s="86"/>
      <c r="L16" s="62" t="s">
        <v>412</v>
      </c>
      <c r="M16" s="62" t="s">
        <v>181</v>
      </c>
      <c r="N16" s="62"/>
      <c r="O16" s="62"/>
      <c r="P16" s="70"/>
      <c r="Q16" s="62"/>
      <c r="R16" s="62"/>
      <c r="S16" s="62"/>
      <c r="T16" s="62"/>
      <c r="U16" s="62"/>
      <c r="V16" s="62"/>
    </row>
    <row r="17" spans="1:26" s="40" customFormat="1" ht="19" x14ac:dyDescent="0.25">
      <c r="A17" s="62" t="s">
        <v>413</v>
      </c>
      <c r="B17" s="62">
        <v>14</v>
      </c>
      <c r="C17" s="62" t="s">
        <v>414</v>
      </c>
      <c r="D17" s="62" t="s">
        <v>135</v>
      </c>
      <c r="E17" s="86"/>
      <c r="F17" s="86"/>
      <c r="G17" s="62" t="s">
        <v>137</v>
      </c>
      <c r="H17" s="105"/>
      <c r="I17" s="180">
        <v>0</v>
      </c>
      <c r="J17" s="62" t="s">
        <v>139</v>
      </c>
      <c r="K17" s="86"/>
      <c r="L17" s="62" t="s">
        <v>140</v>
      </c>
      <c r="M17" s="62" t="s">
        <v>181</v>
      </c>
      <c r="N17" s="62"/>
      <c r="O17" s="62"/>
      <c r="P17" s="70"/>
      <c r="Q17" s="62"/>
      <c r="R17" s="62"/>
      <c r="S17" s="62"/>
      <c r="T17" s="62"/>
      <c r="U17" s="62"/>
      <c r="V17" s="62"/>
    </row>
    <row r="18" spans="1:26" s="40" customFormat="1" ht="19" x14ac:dyDescent="0.25">
      <c r="A18" s="106" t="s">
        <v>415</v>
      </c>
      <c r="B18" s="106">
        <v>15</v>
      </c>
      <c r="C18" s="62" t="s">
        <v>416</v>
      </c>
      <c r="D18" s="62" t="s">
        <v>135</v>
      </c>
      <c r="E18" s="86"/>
      <c r="F18" s="86"/>
      <c r="G18" s="62" t="s">
        <v>135</v>
      </c>
      <c r="H18" s="105"/>
      <c r="I18" s="180">
        <v>0</v>
      </c>
      <c r="J18" s="62" t="s">
        <v>147</v>
      </c>
      <c r="K18" s="86"/>
      <c r="L18" s="62" t="s">
        <v>140</v>
      </c>
      <c r="M18" s="62" t="s">
        <v>181</v>
      </c>
      <c r="N18" s="62"/>
      <c r="O18" s="62"/>
      <c r="P18" s="70"/>
      <c r="Q18" s="62"/>
      <c r="R18" s="62"/>
      <c r="S18" s="62"/>
      <c r="T18" s="62"/>
      <c r="U18" s="62"/>
      <c r="V18" s="62"/>
    </row>
    <row r="19" spans="1:26" s="40" customFormat="1" ht="19" x14ac:dyDescent="0.25">
      <c r="A19" s="106" t="s">
        <v>417</v>
      </c>
      <c r="B19" s="106">
        <v>16</v>
      </c>
      <c r="C19" s="62" t="s">
        <v>418</v>
      </c>
      <c r="D19" s="62" t="s">
        <v>135</v>
      </c>
      <c r="E19" s="86"/>
      <c r="F19" s="86"/>
      <c r="G19" s="62" t="s">
        <v>135</v>
      </c>
      <c r="H19" s="105"/>
      <c r="I19" s="180">
        <v>0</v>
      </c>
      <c r="J19" s="62" t="s">
        <v>147</v>
      </c>
      <c r="K19" s="86" t="s">
        <v>196</v>
      </c>
      <c r="L19" s="62" t="s">
        <v>140</v>
      </c>
      <c r="M19" s="62" t="s">
        <v>181</v>
      </c>
      <c r="N19" s="62"/>
      <c r="O19" s="62"/>
      <c r="P19" s="70"/>
      <c r="Q19" s="62"/>
      <c r="R19" s="62"/>
      <c r="S19" s="62"/>
      <c r="T19" s="62"/>
      <c r="U19" s="62"/>
      <c r="V19" s="62"/>
    </row>
    <row r="20" spans="1:26" s="40" customFormat="1" ht="19" x14ac:dyDescent="0.25">
      <c r="A20" s="62" t="s">
        <v>419</v>
      </c>
      <c r="B20" s="62">
        <v>18</v>
      </c>
      <c r="C20" s="62" t="s">
        <v>420</v>
      </c>
      <c r="D20" s="62" t="s">
        <v>135</v>
      </c>
      <c r="E20" s="86"/>
      <c r="F20" s="86"/>
      <c r="G20" s="62" t="s">
        <v>137</v>
      </c>
      <c r="H20" s="105"/>
      <c r="I20" s="180">
        <v>0</v>
      </c>
      <c r="J20" s="62" t="s">
        <v>139</v>
      </c>
      <c r="K20" s="86"/>
      <c r="L20" s="62" t="s">
        <v>140</v>
      </c>
      <c r="M20" s="62" t="s">
        <v>181</v>
      </c>
      <c r="N20" s="62"/>
      <c r="O20" s="62"/>
      <c r="P20" s="70"/>
      <c r="Q20" s="62"/>
      <c r="R20" s="62"/>
      <c r="S20" s="62"/>
      <c r="T20" s="62"/>
      <c r="U20" s="62"/>
      <c r="V20" s="62"/>
    </row>
    <row r="21" spans="1:26" s="40" customFormat="1" ht="19" x14ac:dyDescent="0.25">
      <c r="A21" s="62" t="s">
        <v>421</v>
      </c>
      <c r="B21" s="62">
        <v>19</v>
      </c>
      <c r="C21" s="62" t="s">
        <v>422</v>
      </c>
      <c r="D21" s="62" t="s">
        <v>159</v>
      </c>
      <c r="E21" s="86"/>
      <c r="F21" s="86"/>
      <c r="G21" s="62" t="s">
        <v>135</v>
      </c>
      <c r="H21" s="105"/>
      <c r="I21" s="180">
        <v>0</v>
      </c>
      <c r="J21" s="62" t="s">
        <v>139</v>
      </c>
      <c r="K21" s="86"/>
      <c r="L21" s="62" t="s">
        <v>140</v>
      </c>
      <c r="M21" s="62" t="s">
        <v>181</v>
      </c>
      <c r="N21" s="62"/>
      <c r="O21" s="62"/>
      <c r="P21" s="62"/>
      <c r="Q21" s="62"/>
      <c r="R21" s="62"/>
      <c r="S21" s="62"/>
      <c r="T21" s="62"/>
      <c r="U21" s="62"/>
      <c r="V21" s="62"/>
    </row>
    <row r="22" spans="1:26" s="40" customFormat="1" ht="19" x14ac:dyDescent="0.25">
      <c r="A22" s="62" t="s">
        <v>423</v>
      </c>
      <c r="B22" s="62">
        <v>21</v>
      </c>
      <c r="C22" s="62" t="s">
        <v>424</v>
      </c>
      <c r="D22" s="62" t="s">
        <v>135</v>
      </c>
      <c r="E22" s="86"/>
      <c r="F22" s="86"/>
      <c r="G22" s="62" t="s">
        <v>137</v>
      </c>
      <c r="H22" s="105"/>
      <c r="I22" s="180">
        <v>0</v>
      </c>
      <c r="J22" s="62" t="s">
        <v>144</v>
      </c>
      <c r="K22" s="86"/>
      <c r="L22" s="62" t="s">
        <v>140</v>
      </c>
      <c r="M22" s="62" t="s">
        <v>181</v>
      </c>
      <c r="N22" s="62"/>
      <c r="O22" s="62"/>
      <c r="P22" s="62"/>
      <c r="Q22" s="62"/>
      <c r="R22" s="62"/>
      <c r="S22" s="62"/>
      <c r="T22" s="62"/>
      <c r="U22" s="62"/>
      <c r="V22" s="62"/>
    </row>
    <row r="23" spans="1:26" x14ac:dyDescent="0.2">
      <c r="A23" s="93" t="s">
        <v>425</v>
      </c>
      <c r="B23" s="64"/>
      <c r="C23" s="64"/>
      <c r="D23" s="64"/>
      <c r="E23" s="85"/>
      <c r="F23" s="64"/>
      <c r="G23" s="64"/>
      <c r="H23" s="64"/>
      <c r="I23" s="64"/>
      <c r="J23" s="64"/>
      <c r="K23" s="64"/>
      <c r="L23" s="64"/>
      <c r="M23" s="64"/>
      <c r="N23" s="64"/>
    </row>
    <row r="24" spans="1:26" x14ac:dyDescent="0.2">
      <c r="A24" s="62" t="s">
        <v>426</v>
      </c>
      <c r="B24" s="62">
        <v>22</v>
      </c>
      <c r="C24" t="s">
        <v>782</v>
      </c>
      <c r="D24" s="62" t="s">
        <v>159</v>
      </c>
      <c r="E24" s="86"/>
      <c r="F24" s="86"/>
      <c r="G24" s="62" t="s">
        <v>747</v>
      </c>
      <c r="H24" s="105"/>
      <c r="I24" s="180">
        <v>0</v>
      </c>
      <c r="J24" s="62" t="s">
        <v>159</v>
      </c>
      <c r="K24" s="105"/>
      <c r="L24" s="62" t="s">
        <v>297</v>
      </c>
      <c r="M24" s="62" t="s">
        <v>783</v>
      </c>
    </row>
    <row r="25" spans="1:26" x14ac:dyDescent="0.2">
      <c r="A25" s="62" t="s">
        <v>427</v>
      </c>
      <c r="B25" s="62">
        <v>23</v>
      </c>
      <c r="C25" t="s">
        <v>784</v>
      </c>
      <c r="D25" s="62" t="s">
        <v>159</v>
      </c>
      <c r="E25" s="86"/>
      <c r="F25" s="86"/>
      <c r="G25" s="62" t="s">
        <v>135</v>
      </c>
      <c r="H25" s="105"/>
      <c r="I25" s="180">
        <v>0</v>
      </c>
      <c r="J25" s="62" t="s">
        <v>147</v>
      </c>
      <c r="K25" s="105"/>
      <c r="L25" s="62" t="s">
        <v>297</v>
      </c>
      <c r="M25" s="62" t="s">
        <v>785</v>
      </c>
    </row>
    <row r="26" spans="1:26" ht="19" x14ac:dyDescent="0.2">
      <c r="A26" s="62" t="s">
        <v>428</v>
      </c>
      <c r="B26" s="62">
        <v>24</v>
      </c>
      <c r="C26" t="s">
        <v>789</v>
      </c>
      <c r="D26" s="62" t="s">
        <v>159</v>
      </c>
      <c r="E26" s="86"/>
      <c r="F26" s="86"/>
      <c r="G26" s="62" t="s">
        <v>135</v>
      </c>
      <c r="H26" s="105"/>
      <c r="I26" s="180">
        <v>0</v>
      </c>
      <c r="J26" s="62" t="s">
        <v>147</v>
      </c>
      <c r="K26" s="105"/>
      <c r="L26" s="62" t="s">
        <v>140</v>
      </c>
      <c r="M26" t="s">
        <v>790</v>
      </c>
      <c r="Z26" s="61"/>
    </row>
    <row r="27" spans="1:26" x14ac:dyDescent="0.2">
      <c r="A27" s="93" t="s">
        <v>429</v>
      </c>
      <c r="B27" s="64"/>
      <c r="C27" s="64"/>
      <c r="D27" s="64"/>
      <c r="E27" s="85"/>
      <c r="F27" s="64"/>
      <c r="G27" s="64"/>
      <c r="H27" s="64"/>
      <c r="I27" s="64"/>
      <c r="J27" s="64"/>
      <c r="K27" s="64"/>
      <c r="L27" s="64"/>
      <c r="M27" s="64"/>
      <c r="N27" s="64"/>
      <c r="Z27" s="62"/>
    </row>
    <row r="28" spans="1:26" x14ac:dyDescent="0.2">
      <c r="A28" s="62" t="s">
        <v>430</v>
      </c>
      <c r="B28" s="62">
        <v>25</v>
      </c>
      <c r="C28" t="s">
        <v>786</v>
      </c>
      <c r="D28" t="s">
        <v>135</v>
      </c>
      <c r="E28" s="86"/>
      <c r="F28" s="86"/>
      <c r="G28" t="s">
        <v>137</v>
      </c>
      <c r="H28" s="105"/>
      <c r="I28" s="180">
        <v>0</v>
      </c>
      <c r="J28" t="s">
        <v>144</v>
      </c>
      <c r="K28" s="105"/>
      <c r="L28" s="62" t="s">
        <v>140</v>
      </c>
      <c r="M28" s="62" t="s">
        <v>181</v>
      </c>
      <c r="Z28" s="63"/>
    </row>
    <row r="29" spans="1:26" x14ac:dyDescent="0.2">
      <c r="A29" s="62" t="s">
        <v>431</v>
      </c>
      <c r="B29" s="62">
        <v>26</v>
      </c>
      <c r="C29" t="s">
        <v>791</v>
      </c>
      <c r="D29" s="62" t="s">
        <v>135</v>
      </c>
      <c r="E29" s="86"/>
      <c r="F29" s="86"/>
      <c r="G29" s="62" t="s">
        <v>135</v>
      </c>
      <c r="H29" s="105"/>
      <c r="I29" s="180">
        <v>0</v>
      </c>
      <c r="J29" s="62" t="s">
        <v>144</v>
      </c>
      <c r="K29" s="105"/>
      <c r="L29" s="62" t="s">
        <v>140</v>
      </c>
      <c r="M29" s="62" t="s">
        <v>792</v>
      </c>
      <c r="Z29" s="63"/>
    </row>
    <row r="30" spans="1:26" x14ac:dyDescent="0.2">
      <c r="A30" s="62" t="s">
        <v>432</v>
      </c>
      <c r="B30" s="62">
        <v>27</v>
      </c>
      <c r="C30" t="s">
        <v>793</v>
      </c>
      <c r="D30" s="62" t="s">
        <v>159</v>
      </c>
      <c r="E30" s="86"/>
      <c r="F30" s="86"/>
      <c r="G30" s="62" t="s">
        <v>135</v>
      </c>
      <c r="H30" s="105"/>
      <c r="I30" s="180">
        <v>0</v>
      </c>
      <c r="J30" s="62" t="s">
        <v>144</v>
      </c>
      <c r="K30" s="105"/>
      <c r="L30" s="62" t="s">
        <v>140</v>
      </c>
      <c r="M30" t="s">
        <v>794</v>
      </c>
      <c r="Z30" s="63"/>
    </row>
    <row r="31" spans="1:26" x14ac:dyDescent="0.2">
      <c r="A31" s="93" t="s">
        <v>433</v>
      </c>
      <c r="B31" s="85" t="s">
        <v>196</v>
      </c>
      <c r="C31" s="64"/>
      <c r="D31" s="64"/>
      <c r="E31" s="85"/>
      <c r="F31" s="64"/>
      <c r="G31" s="64"/>
      <c r="H31" s="64"/>
      <c r="I31" s="64"/>
      <c r="J31" s="64"/>
      <c r="K31" s="64"/>
      <c r="L31" s="64"/>
      <c r="M31" s="64"/>
      <c r="N31" s="64"/>
      <c r="P31" s="70"/>
      <c r="Z31" s="63"/>
    </row>
    <row r="32" spans="1:26" x14ac:dyDescent="0.2">
      <c r="A32" s="62" t="s">
        <v>434</v>
      </c>
      <c r="B32" s="62">
        <v>28</v>
      </c>
      <c r="C32" t="s">
        <v>787</v>
      </c>
      <c r="D32" t="s">
        <v>159</v>
      </c>
      <c r="E32" s="86"/>
      <c r="F32" s="86"/>
      <c r="G32" s="62" t="s">
        <v>747</v>
      </c>
      <c r="H32" s="105"/>
      <c r="I32" s="180">
        <v>0</v>
      </c>
      <c r="J32" s="62" t="s">
        <v>159</v>
      </c>
      <c r="K32" s="105"/>
      <c r="L32" s="62" t="s">
        <v>297</v>
      </c>
      <c r="M32" s="62" t="s">
        <v>788</v>
      </c>
      <c r="P32" s="70"/>
      <c r="Z32" s="63"/>
    </row>
    <row r="33" spans="1:26" x14ac:dyDescent="0.2">
      <c r="A33" s="62" t="s">
        <v>795</v>
      </c>
      <c r="B33" s="62">
        <v>29</v>
      </c>
      <c r="C33" t="s">
        <v>796</v>
      </c>
      <c r="D33" t="s">
        <v>159</v>
      </c>
      <c r="E33" s="86"/>
      <c r="F33" s="86"/>
      <c r="G33" s="62" t="s">
        <v>137</v>
      </c>
      <c r="H33" s="105"/>
      <c r="I33" s="180">
        <v>0</v>
      </c>
      <c r="J33" s="62" t="s">
        <v>147</v>
      </c>
      <c r="K33" s="105"/>
      <c r="L33" s="62" t="s">
        <v>797</v>
      </c>
      <c r="M33" s="62" t="s">
        <v>798</v>
      </c>
      <c r="P33" s="70"/>
    </row>
    <row r="34" spans="1:26" ht="19" x14ac:dyDescent="0.2">
      <c r="A34" s="93" t="s">
        <v>435</v>
      </c>
      <c r="B34" s="85" t="s">
        <v>196</v>
      </c>
      <c r="C34" s="64"/>
      <c r="D34" s="64"/>
      <c r="E34" s="85"/>
      <c r="F34" s="64"/>
      <c r="G34" s="64"/>
      <c r="H34" s="64"/>
      <c r="I34" s="64"/>
      <c r="J34" s="64"/>
      <c r="K34" s="64"/>
      <c r="L34" s="64"/>
      <c r="M34" s="64"/>
      <c r="N34" s="64"/>
      <c r="P34" s="70"/>
      <c r="Z34" s="61"/>
    </row>
    <row r="35" spans="1:26" x14ac:dyDescent="0.2">
      <c r="A35" s="62" t="s">
        <v>436</v>
      </c>
      <c r="B35" s="62">
        <v>30</v>
      </c>
      <c r="C35" t="s">
        <v>799</v>
      </c>
      <c r="D35" t="s">
        <v>159</v>
      </c>
      <c r="E35" s="86"/>
      <c r="F35" s="86"/>
      <c r="G35" s="62" t="s">
        <v>135</v>
      </c>
      <c r="H35" s="105"/>
      <c r="I35" s="180">
        <v>0</v>
      </c>
      <c r="J35" s="62" t="s">
        <v>144</v>
      </c>
      <c r="K35" s="105"/>
      <c r="L35" s="62" t="s">
        <v>140</v>
      </c>
      <c r="M35" t="s">
        <v>166</v>
      </c>
      <c r="P35" s="70"/>
      <c r="Z35" s="62"/>
    </row>
    <row r="36" spans="1:26" x14ac:dyDescent="0.2">
      <c r="A36" s="62" t="s">
        <v>800</v>
      </c>
      <c r="B36" s="62">
        <v>31</v>
      </c>
      <c r="C36" t="s">
        <v>801</v>
      </c>
      <c r="D36" t="s">
        <v>159</v>
      </c>
      <c r="E36" s="86"/>
      <c r="F36" s="86"/>
      <c r="G36" s="62" t="s">
        <v>135</v>
      </c>
      <c r="H36" s="105"/>
      <c r="I36" s="180">
        <v>0</v>
      </c>
      <c r="J36" s="62" t="s">
        <v>144</v>
      </c>
      <c r="K36" s="105"/>
      <c r="L36" s="62" t="s">
        <v>140</v>
      </c>
      <c r="M36" t="s">
        <v>166</v>
      </c>
      <c r="P36" s="70"/>
      <c r="Z36" s="63"/>
    </row>
    <row r="37" spans="1:26" x14ac:dyDescent="0.2">
      <c r="A37" s="93" t="s">
        <v>437</v>
      </c>
      <c r="B37" s="64"/>
      <c r="C37" s="64"/>
      <c r="D37" s="64"/>
      <c r="E37" s="64"/>
      <c r="F37" s="64"/>
      <c r="G37" s="64"/>
      <c r="H37" s="64"/>
      <c r="I37" s="64"/>
      <c r="J37" s="64"/>
      <c r="K37" s="64"/>
      <c r="L37" s="64"/>
      <c r="M37" s="64"/>
      <c r="N37" s="64"/>
    </row>
    <row r="38" spans="1:26" x14ac:dyDescent="0.2">
      <c r="A38" s="62" t="s">
        <v>438</v>
      </c>
      <c r="B38" s="62">
        <v>32</v>
      </c>
      <c r="C38" t="s">
        <v>802</v>
      </c>
      <c r="D38" t="s">
        <v>159</v>
      </c>
      <c r="E38" s="86"/>
      <c r="F38" s="86"/>
      <c r="G38" s="62" t="s">
        <v>135</v>
      </c>
      <c r="H38" s="105"/>
      <c r="I38" s="180">
        <v>0</v>
      </c>
      <c r="J38" s="62" t="s">
        <v>144</v>
      </c>
      <c r="K38" s="105"/>
      <c r="L38" s="62" t="s">
        <v>140</v>
      </c>
      <c r="M38" t="s">
        <v>803</v>
      </c>
      <c r="P38" s="70"/>
    </row>
    <row r="39" spans="1:26" x14ac:dyDescent="0.2">
      <c r="A39" s="62" t="s">
        <v>439</v>
      </c>
      <c r="B39" s="62">
        <v>33</v>
      </c>
      <c r="C39" t="s">
        <v>804</v>
      </c>
      <c r="D39" t="s">
        <v>159</v>
      </c>
      <c r="E39" s="86"/>
      <c r="F39" s="86"/>
      <c r="G39" s="62" t="s">
        <v>135</v>
      </c>
      <c r="H39" s="105"/>
      <c r="I39" s="180">
        <v>0</v>
      </c>
      <c r="J39" s="62" t="s">
        <v>144</v>
      </c>
      <c r="K39" s="105"/>
      <c r="L39" s="62" t="s">
        <v>140</v>
      </c>
      <c r="M39" t="s">
        <v>803</v>
      </c>
      <c r="P39" s="62"/>
    </row>
    <row r="40" spans="1:26" ht="19" x14ac:dyDescent="0.2">
      <c r="A40" s="65" t="s">
        <v>646</v>
      </c>
      <c r="B40" s="64"/>
      <c r="C40" s="64"/>
      <c r="D40" s="64"/>
      <c r="E40" s="64"/>
      <c r="F40" s="64"/>
      <c r="G40" s="64"/>
      <c r="H40" s="64"/>
      <c r="I40" s="64"/>
      <c r="J40" s="64"/>
      <c r="K40" s="64"/>
      <c r="L40" s="64"/>
      <c r="M40" s="64"/>
      <c r="N40" s="64"/>
      <c r="P40" s="63"/>
    </row>
    <row r="41" spans="1:26" x14ac:dyDescent="0.2">
      <c r="B41" s="62"/>
      <c r="D41"/>
      <c r="E41"/>
      <c r="F41"/>
      <c r="G41"/>
      <c r="H41"/>
      <c r="I41"/>
      <c r="P41" s="63"/>
    </row>
    <row r="42" spans="1:26" ht="5" customHeight="1" x14ac:dyDescent="0.2">
      <c r="A42" s="118"/>
      <c r="B42" s="118"/>
      <c r="C42" s="118"/>
      <c r="D42" s="118"/>
      <c r="E42" s="118"/>
      <c r="F42" s="118"/>
      <c r="G42" s="118"/>
      <c r="H42" s="118"/>
      <c r="I42" s="118"/>
      <c r="J42" s="118"/>
      <c r="K42" s="118"/>
      <c r="L42" s="118"/>
      <c r="M42" s="118"/>
      <c r="N42" s="118"/>
      <c r="P42" s="63"/>
    </row>
    <row r="43" spans="1:26" x14ac:dyDescent="0.2">
      <c r="D43"/>
      <c r="E43"/>
      <c r="F43"/>
      <c r="G43"/>
      <c r="H43"/>
      <c r="I43"/>
      <c r="P43" s="63"/>
    </row>
    <row r="44" spans="1:26" x14ac:dyDescent="0.2">
      <c r="D44"/>
      <c r="E44"/>
      <c r="F44"/>
      <c r="G44"/>
      <c r="H44"/>
      <c r="I44"/>
      <c r="P44" s="63"/>
    </row>
    <row r="45" spans="1:26" x14ac:dyDescent="0.2">
      <c r="D45"/>
      <c r="E45"/>
      <c r="F45"/>
      <c r="G45"/>
      <c r="H45"/>
      <c r="I45"/>
      <c r="P45" s="63"/>
    </row>
    <row r="46" spans="1:26" x14ac:dyDescent="0.2">
      <c r="D46"/>
      <c r="E46"/>
      <c r="F46"/>
      <c r="G46"/>
      <c r="H46"/>
      <c r="I46"/>
      <c r="P46" s="63"/>
    </row>
    <row r="47" spans="1:26" x14ac:dyDescent="0.2">
      <c r="D47"/>
      <c r="E47"/>
      <c r="F47"/>
      <c r="G47"/>
      <c r="H47"/>
      <c r="I47"/>
      <c r="P47" s="63"/>
    </row>
    <row r="48" spans="1:26" x14ac:dyDescent="0.2">
      <c r="D48"/>
      <c r="E48"/>
      <c r="F48"/>
      <c r="G48"/>
      <c r="H48"/>
      <c r="I48"/>
    </row>
    <row r="49" customFormat="1" x14ac:dyDescent="0.2"/>
    <row r="50" customFormat="1" x14ac:dyDescent="0.2"/>
    <row r="51" customFormat="1" x14ac:dyDescent="0.2"/>
    <row r="52" customFormat="1" x14ac:dyDescent="0.2"/>
    <row r="53" customFormat="1" x14ac:dyDescent="0.2"/>
    <row r="54" customFormat="1" x14ac:dyDescent="0.2"/>
  </sheetData>
  <mergeCells count="1">
    <mergeCell ref="M1:N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DD5D138B-F306-4FE3-9B7C-F0A4A4ADEA6B}">
          <x14:formula1>
            <xm:f>' Parametros, no tocar'!$B$8:$B$11</xm:f>
          </x14:formula1>
          <xm:sqref>H3:H11 H13:H14 H16:H22 H24:H26 H28:H30 H32:H33 H35:H36 H38:H39</xm:sqref>
        </x14:dataValidation>
        <x14:dataValidation type="list" allowBlank="1" showInputMessage="1" showErrorMessage="1" xr:uid="{6ED87357-B0AF-4618-B091-B096E5569EA7}">
          <x14:formula1>
            <xm:f>' Parametros, no tocar'!$F$4:$F$10</xm:f>
          </x14:formula1>
          <xm:sqref>F3:F11 F13:F14 F16:F22 F24:F26 F28:F30 F32:F33 F35:F36 F38:F39</xm:sqref>
        </x14:dataValidation>
        <x14:dataValidation type="list" allowBlank="1" showInputMessage="1" showErrorMessage="1" xr:uid="{6F875D2C-1D1F-47CB-A8C4-D0F0E03204CA}">
          <x14:formula1>
            <xm:f>' Parametros, no tocar'!$B$4:$B$5</xm:f>
          </x14:formula1>
          <xm:sqref>E3:E11 E13:E14 E16:E22 E24:E26 E28:E30 E32:E33 E35:E36 E38:E39</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48C456-D0F5-4B21-ACE5-72C540BB3DA2}">
  <sheetPr>
    <tabColor theme="9" tint="0.59999389629810485"/>
  </sheetPr>
  <dimension ref="A1:C42"/>
  <sheetViews>
    <sheetView zoomScaleNormal="100" workbookViewId="0">
      <pane ySplit="1" topLeftCell="A2" activePane="bottomLeft" state="frozen"/>
      <selection pane="bottomLeft" activeCell="B1" sqref="B1:C1"/>
    </sheetView>
  </sheetViews>
  <sheetFormatPr baseColWidth="10" defaultRowHeight="16" x14ac:dyDescent="0.2"/>
  <cols>
    <col min="1" max="1" width="78.33203125" customWidth="1"/>
    <col min="2" max="2" width="115.83203125" customWidth="1"/>
    <col min="3" max="3" width="28.6640625" customWidth="1"/>
  </cols>
  <sheetData>
    <row r="1" spans="1:3" ht="20" x14ac:dyDescent="0.25">
      <c r="A1" s="43" t="s">
        <v>779</v>
      </c>
      <c r="B1" s="103" t="s">
        <v>613</v>
      </c>
      <c r="C1" s="105" t="s">
        <v>204</v>
      </c>
    </row>
    <row r="2" spans="1:3" ht="19" x14ac:dyDescent="0.2">
      <c r="A2" s="65" t="s">
        <v>386</v>
      </c>
      <c r="B2" s="64"/>
      <c r="C2" s="93"/>
    </row>
    <row r="3" spans="1:3" x14ac:dyDescent="0.2">
      <c r="A3" s="62" t="s">
        <v>387</v>
      </c>
      <c r="B3" t="s">
        <v>806</v>
      </c>
      <c r="C3" s="105"/>
    </row>
    <row r="4" spans="1:3" x14ac:dyDescent="0.2">
      <c r="A4" s="62" t="s">
        <v>389</v>
      </c>
      <c r="B4" t="s">
        <v>807</v>
      </c>
      <c r="C4" s="120"/>
    </row>
    <row r="5" spans="1:3" x14ac:dyDescent="0.2">
      <c r="A5" s="62" t="s">
        <v>391</v>
      </c>
      <c r="B5" t="s">
        <v>808</v>
      </c>
      <c r="C5" s="105"/>
    </row>
    <row r="6" spans="1:3" x14ac:dyDescent="0.2">
      <c r="A6" s="62" t="s">
        <v>393</v>
      </c>
      <c r="B6" t="s">
        <v>809</v>
      </c>
      <c r="C6" s="105"/>
    </row>
    <row r="7" spans="1:3" x14ac:dyDescent="0.2">
      <c r="A7" s="62" t="s">
        <v>395</v>
      </c>
      <c r="B7" t="s">
        <v>810</v>
      </c>
      <c r="C7" s="105"/>
    </row>
    <row r="8" spans="1:3" x14ac:dyDescent="0.2">
      <c r="A8" s="62" t="s">
        <v>397</v>
      </c>
      <c r="B8" t="s">
        <v>811</v>
      </c>
      <c r="C8" s="105"/>
    </row>
    <row r="9" spans="1:3" x14ac:dyDescent="0.2">
      <c r="A9" s="62" t="s">
        <v>399</v>
      </c>
      <c r="B9" t="s">
        <v>812</v>
      </c>
      <c r="C9" s="105"/>
    </row>
    <row r="10" spans="1:3" x14ac:dyDescent="0.2">
      <c r="A10" s="62" t="s">
        <v>401</v>
      </c>
      <c r="B10" t="s">
        <v>813</v>
      </c>
      <c r="C10" s="120"/>
    </row>
    <row r="11" spans="1:3" x14ac:dyDescent="0.2">
      <c r="A11" s="62" t="s">
        <v>403</v>
      </c>
      <c r="B11" t="s">
        <v>814</v>
      </c>
      <c r="C11" s="105"/>
    </row>
    <row r="12" spans="1:3" ht="19" x14ac:dyDescent="0.2">
      <c r="A12" s="65" t="s">
        <v>405</v>
      </c>
      <c r="B12" s="64"/>
      <c r="C12" s="93"/>
    </row>
    <row r="13" spans="1:3" x14ac:dyDescent="0.2">
      <c r="A13" s="62" t="s">
        <v>406</v>
      </c>
      <c r="B13" t="s">
        <v>815</v>
      </c>
      <c r="C13" s="105"/>
    </row>
    <row r="14" spans="1:3" x14ac:dyDescent="0.2">
      <c r="A14" s="62" t="s">
        <v>407</v>
      </c>
      <c r="B14" t="s">
        <v>816</v>
      </c>
      <c r="C14" s="120"/>
    </row>
    <row r="15" spans="1:3" ht="19" x14ac:dyDescent="0.2">
      <c r="A15" s="65" t="s">
        <v>409</v>
      </c>
      <c r="B15" s="64"/>
      <c r="C15" s="64"/>
    </row>
    <row r="16" spans="1:3" x14ac:dyDescent="0.2">
      <c r="A16" s="62" t="s">
        <v>410</v>
      </c>
      <c r="B16" t="s">
        <v>817</v>
      </c>
      <c r="C16" s="120"/>
    </row>
    <row r="17" spans="1:3" x14ac:dyDescent="0.2">
      <c r="A17" s="62" t="s">
        <v>413</v>
      </c>
      <c r="B17" t="s">
        <v>818</v>
      </c>
      <c r="C17" s="105"/>
    </row>
    <row r="18" spans="1:3" x14ac:dyDescent="0.2">
      <c r="A18" s="62" t="s">
        <v>415</v>
      </c>
      <c r="B18" t="s">
        <v>819</v>
      </c>
      <c r="C18" s="120"/>
    </row>
    <row r="19" spans="1:3" x14ac:dyDescent="0.2">
      <c r="A19" s="106" t="s">
        <v>417</v>
      </c>
      <c r="B19" t="s">
        <v>820</v>
      </c>
      <c r="C19" s="105"/>
    </row>
    <row r="20" spans="1:3" x14ac:dyDescent="0.2">
      <c r="A20" s="62" t="s">
        <v>419</v>
      </c>
      <c r="B20" t="s">
        <v>821</v>
      </c>
      <c r="C20" s="120"/>
    </row>
    <row r="21" spans="1:3" x14ac:dyDescent="0.2">
      <c r="A21" s="62" t="s">
        <v>421</v>
      </c>
      <c r="B21" t="s">
        <v>822</v>
      </c>
      <c r="C21" s="105"/>
    </row>
    <row r="22" spans="1:3" x14ac:dyDescent="0.2">
      <c r="A22" s="62" t="s">
        <v>423</v>
      </c>
      <c r="B22" t="s">
        <v>823</v>
      </c>
      <c r="C22" s="120"/>
    </row>
    <row r="23" spans="1:3" x14ac:dyDescent="0.2">
      <c r="A23" s="93" t="s">
        <v>425</v>
      </c>
      <c r="B23" s="93"/>
      <c r="C23" s="93"/>
    </row>
    <row r="24" spans="1:3" x14ac:dyDescent="0.2">
      <c r="A24" s="62" t="s">
        <v>426</v>
      </c>
      <c r="B24" t="s">
        <v>824</v>
      </c>
      <c r="C24" s="105"/>
    </row>
    <row r="25" spans="1:3" x14ac:dyDescent="0.2">
      <c r="A25" s="62" t="s">
        <v>427</v>
      </c>
      <c r="B25" t="s">
        <v>825</v>
      </c>
      <c r="C25" s="105"/>
    </row>
    <row r="26" spans="1:3" x14ac:dyDescent="0.2">
      <c r="A26" s="62" t="s">
        <v>428</v>
      </c>
      <c r="B26" t="s">
        <v>826</v>
      </c>
      <c r="C26" s="105"/>
    </row>
    <row r="27" spans="1:3" x14ac:dyDescent="0.2">
      <c r="A27" s="93" t="s">
        <v>429</v>
      </c>
      <c r="B27" s="93"/>
      <c r="C27" s="93"/>
    </row>
    <row r="28" spans="1:3" x14ac:dyDescent="0.2">
      <c r="A28" s="62" t="s">
        <v>430</v>
      </c>
      <c r="B28" t="s">
        <v>827</v>
      </c>
      <c r="C28" s="105"/>
    </row>
    <row r="29" spans="1:3" x14ac:dyDescent="0.2">
      <c r="A29" s="62" t="s">
        <v>431</v>
      </c>
      <c r="B29" t="s">
        <v>828</v>
      </c>
      <c r="C29" s="105"/>
    </row>
    <row r="30" spans="1:3" x14ac:dyDescent="0.2">
      <c r="A30" s="62" t="s">
        <v>432</v>
      </c>
      <c r="B30" t="s">
        <v>829</v>
      </c>
      <c r="C30" s="105"/>
    </row>
    <row r="31" spans="1:3" x14ac:dyDescent="0.2">
      <c r="A31" s="93" t="s">
        <v>433</v>
      </c>
      <c r="B31" s="64"/>
      <c r="C31" s="64"/>
    </row>
    <row r="32" spans="1:3" x14ac:dyDescent="0.2">
      <c r="A32" s="62" t="s">
        <v>434</v>
      </c>
      <c r="B32" t="s">
        <v>830</v>
      </c>
      <c r="C32" s="105"/>
    </row>
    <row r="33" spans="1:3" x14ac:dyDescent="0.2">
      <c r="A33" s="62" t="s">
        <v>795</v>
      </c>
      <c r="B33" t="s">
        <v>831</v>
      </c>
      <c r="C33" s="105"/>
    </row>
    <row r="34" spans="1:3" x14ac:dyDescent="0.2">
      <c r="A34" s="93" t="s">
        <v>435</v>
      </c>
      <c r="B34" s="64"/>
      <c r="C34" s="64"/>
    </row>
    <row r="35" spans="1:3" x14ac:dyDescent="0.2">
      <c r="A35" s="62" t="s">
        <v>436</v>
      </c>
      <c r="B35" t="s">
        <v>832</v>
      </c>
      <c r="C35" s="105"/>
    </row>
    <row r="36" spans="1:3" x14ac:dyDescent="0.2">
      <c r="A36" s="62" t="s">
        <v>800</v>
      </c>
      <c r="B36" t="s">
        <v>833</v>
      </c>
      <c r="C36" s="105"/>
    </row>
    <row r="37" spans="1:3" x14ac:dyDescent="0.2">
      <c r="A37" s="93" t="s">
        <v>437</v>
      </c>
      <c r="C37" s="105"/>
    </row>
    <row r="38" spans="1:3" x14ac:dyDescent="0.2">
      <c r="A38" s="62" t="s">
        <v>438</v>
      </c>
      <c r="B38" t="s">
        <v>834</v>
      </c>
      <c r="C38" s="105"/>
    </row>
    <row r="39" spans="1:3" x14ac:dyDescent="0.2">
      <c r="A39" s="62" t="s">
        <v>439</v>
      </c>
      <c r="B39" t="s">
        <v>835</v>
      </c>
      <c r="C39" s="105"/>
    </row>
    <row r="40" spans="1:3" ht="19" x14ac:dyDescent="0.2">
      <c r="A40" s="65" t="s">
        <v>646</v>
      </c>
      <c r="B40" s="64"/>
      <c r="C40" s="64"/>
    </row>
    <row r="42" spans="1:3" ht="5" customHeight="1" x14ac:dyDescent="0.2">
      <c r="A42" s="118"/>
      <c r="B42" s="118"/>
      <c r="C42" s="118"/>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8EC66-377E-4E1F-A1C0-D88DCE04F823}">
  <sheetPr>
    <tabColor theme="9" tint="0.59999389629810485"/>
  </sheetPr>
  <dimension ref="A1:AC47"/>
  <sheetViews>
    <sheetView zoomScaleNormal="100" workbookViewId="0">
      <pane xSplit="3" ySplit="1" topLeftCell="D2" activePane="bottomRight" state="frozen"/>
      <selection pane="topRight" activeCell="D1" sqref="D1"/>
      <selection pane="bottomLeft" activeCell="A2" sqref="A2"/>
      <selection pane="bottomRight" activeCell="D2" sqref="D2"/>
    </sheetView>
  </sheetViews>
  <sheetFormatPr baseColWidth="10" defaultColWidth="11" defaultRowHeight="16" x14ac:dyDescent="0.2"/>
  <cols>
    <col min="1" max="1" width="1.6640625" customWidth="1"/>
    <col min="2" max="2" width="58.1640625" bestFit="1" customWidth="1"/>
    <col min="3" max="3" width="10.6640625" customWidth="1"/>
    <col min="4" max="4" width="100.5" bestFit="1" customWidth="1"/>
    <col min="5" max="13" width="14.1640625" style="1" customWidth="1"/>
    <col min="14" max="14" width="29.1640625" customWidth="1"/>
  </cols>
  <sheetData>
    <row r="1" spans="2:29" s="44" customFormat="1" ht="38" customHeight="1" x14ac:dyDescent="0.25">
      <c r="B1" s="43" t="s">
        <v>837</v>
      </c>
      <c r="C1" s="43" t="s">
        <v>836</v>
      </c>
      <c r="D1" s="43" t="s">
        <v>52</v>
      </c>
      <c r="E1" s="42" t="s">
        <v>123</v>
      </c>
      <c r="F1" s="45" t="s">
        <v>124</v>
      </c>
      <c r="G1" s="45" t="s">
        <v>20</v>
      </c>
      <c r="H1" s="42" t="s">
        <v>125</v>
      </c>
      <c r="I1" s="142" t="s">
        <v>126</v>
      </c>
      <c r="J1" s="45" t="s">
        <v>127</v>
      </c>
      <c r="K1" s="42" t="s">
        <v>128</v>
      </c>
      <c r="L1" s="78" t="s">
        <v>129</v>
      </c>
      <c r="M1" s="42" t="s">
        <v>130</v>
      </c>
      <c r="N1" s="42" t="s">
        <v>131</v>
      </c>
    </row>
    <row r="2" spans="2:29" s="40" customFormat="1" ht="19" x14ac:dyDescent="0.25">
      <c r="B2" s="93" t="s">
        <v>440</v>
      </c>
      <c r="C2" s="87"/>
      <c r="D2" s="87"/>
      <c r="E2" s="87"/>
      <c r="F2" s="87"/>
      <c r="G2" s="87"/>
      <c r="H2" s="87"/>
      <c r="I2" s="87"/>
      <c r="J2" s="87"/>
      <c r="K2" s="87"/>
      <c r="L2" s="87"/>
      <c r="M2" s="87"/>
      <c r="N2" s="87"/>
    </row>
    <row r="3" spans="2:29" s="40" customFormat="1" ht="19" x14ac:dyDescent="0.25">
      <c r="B3" s="62" t="s">
        <v>441</v>
      </c>
      <c r="C3" s="62">
        <v>1</v>
      </c>
      <c r="D3" s="62" t="s">
        <v>442</v>
      </c>
      <c r="E3" s="62" t="s">
        <v>135</v>
      </c>
      <c r="F3" s="86"/>
      <c r="G3" s="86"/>
      <c r="H3" s="62" t="s">
        <v>135</v>
      </c>
      <c r="I3" s="105"/>
      <c r="J3" s="86"/>
      <c r="K3" s="62" t="s">
        <v>144</v>
      </c>
      <c r="L3" s="86"/>
      <c r="M3" s="62" t="s">
        <v>443</v>
      </c>
      <c r="N3" s="62" t="s">
        <v>166</v>
      </c>
      <c r="P3" s="62"/>
      <c r="Q3" s="62"/>
      <c r="R3" s="62"/>
      <c r="S3" s="62"/>
      <c r="T3" s="62"/>
      <c r="U3" s="62"/>
    </row>
    <row r="4" spans="2:29" s="40" customFormat="1" ht="19" x14ac:dyDescent="0.25">
      <c r="B4" s="62" t="s">
        <v>444</v>
      </c>
      <c r="C4" s="62">
        <v>2</v>
      </c>
      <c r="D4" s="62" t="s">
        <v>445</v>
      </c>
      <c r="E4" s="62" t="s">
        <v>135</v>
      </c>
      <c r="F4" s="86"/>
      <c r="G4" s="86"/>
      <c r="H4" s="62" t="s">
        <v>137</v>
      </c>
      <c r="I4" s="105"/>
      <c r="J4" s="86"/>
      <c r="K4" s="62" t="s">
        <v>147</v>
      </c>
      <c r="L4" s="86"/>
      <c r="M4" s="62" t="s">
        <v>140</v>
      </c>
      <c r="N4" s="62" t="s">
        <v>166</v>
      </c>
      <c r="P4" s="62"/>
      <c r="Q4" s="62"/>
      <c r="R4" s="62"/>
      <c r="S4" s="62"/>
      <c r="T4" s="62"/>
      <c r="U4" s="62"/>
    </row>
    <row r="5" spans="2:29" s="40" customFormat="1" ht="19" x14ac:dyDescent="0.25">
      <c r="B5" s="62" t="s">
        <v>446</v>
      </c>
      <c r="C5" s="62">
        <v>3</v>
      </c>
      <c r="D5" s="62" t="s">
        <v>447</v>
      </c>
      <c r="E5" s="62" t="s">
        <v>135</v>
      </c>
      <c r="F5" s="86"/>
      <c r="G5" s="86"/>
      <c r="H5" s="62" t="s">
        <v>135</v>
      </c>
      <c r="I5" s="105"/>
      <c r="J5" s="86"/>
      <c r="K5" s="62" t="s">
        <v>144</v>
      </c>
      <c r="L5" s="86"/>
      <c r="M5" s="62" t="s">
        <v>448</v>
      </c>
      <c r="N5" s="62" t="s">
        <v>166</v>
      </c>
      <c r="P5" s="62"/>
      <c r="Q5" s="62"/>
      <c r="R5" s="62"/>
      <c r="S5" s="62"/>
      <c r="T5" s="62"/>
      <c r="U5" s="62"/>
    </row>
    <row r="6" spans="2:29" s="40" customFormat="1" ht="19" x14ac:dyDescent="0.25">
      <c r="B6" s="62" t="s">
        <v>449</v>
      </c>
      <c r="C6" s="62">
        <v>4</v>
      </c>
      <c r="D6" s="62" t="s">
        <v>450</v>
      </c>
      <c r="E6" s="62" t="s">
        <v>135</v>
      </c>
      <c r="F6" s="86"/>
      <c r="G6" s="86"/>
      <c r="H6" s="62" t="s">
        <v>135</v>
      </c>
      <c r="I6" s="105"/>
      <c r="J6" s="86"/>
      <c r="K6" s="62" t="s">
        <v>147</v>
      </c>
      <c r="L6" s="86"/>
      <c r="M6" s="62" t="s">
        <v>448</v>
      </c>
      <c r="N6" s="62" t="s">
        <v>166</v>
      </c>
      <c r="P6" s="62"/>
      <c r="Q6" s="62"/>
      <c r="R6" s="62"/>
      <c r="S6" s="62"/>
      <c r="T6" s="62"/>
      <c r="U6" s="62"/>
    </row>
    <row r="7" spans="2:29" s="40" customFormat="1" ht="19" x14ac:dyDescent="0.25">
      <c r="B7" s="62" t="s">
        <v>451</v>
      </c>
      <c r="C7" s="62">
        <v>5</v>
      </c>
      <c r="D7" s="62" t="s">
        <v>452</v>
      </c>
      <c r="E7" s="62" t="s">
        <v>135</v>
      </c>
      <c r="F7" s="86"/>
      <c r="G7" s="86"/>
      <c r="H7" s="62" t="s">
        <v>137</v>
      </c>
      <c r="I7" s="105"/>
      <c r="J7" s="86"/>
      <c r="K7" s="62" t="s">
        <v>144</v>
      </c>
      <c r="L7" s="86"/>
      <c r="M7" s="62" t="s">
        <v>448</v>
      </c>
      <c r="N7" s="62" t="s">
        <v>166</v>
      </c>
      <c r="P7" s="62"/>
      <c r="Q7" s="62"/>
      <c r="R7" s="62"/>
      <c r="S7" s="62"/>
      <c r="T7" s="62"/>
      <c r="U7" s="62"/>
    </row>
    <row r="8" spans="2:29" s="40" customFormat="1" ht="19" x14ac:dyDescent="0.25">
      <c r="B8" s="93" t="s">
        <v>453</v>
      </c>
      <c r="C8" s="94"/>
      <c r="D8" s="94"/>
      <c r="E8" s="95"/>
      <c r="F8" s="90"/>
      <c r="G8" s="90"/>
      <c r="H8" s="95"/>
      <c r="I8" s="90"/>
      <c r="J8" s="87"/>
      <c r="K8" s="95"/>
      <c r="L8" s="87"/>
      <c r="M8" s="95"/>
      <c r="N8" s="94"/>
    </row>
    <row r="9" spans="2:29" s="40" customFormat="1" ht="19" x14ac:dyDescent="0.25">
      <c r="B9" s="62" t="s">
        <v>454</v>
      </c>
      <c r="C9" s="62">
        <v>6</v>
      </c>
      <c r="D9" s="62" t="s">
        <v>455</v>
      </c>
      <c r="E9" s="62" t="s">
        <v>159</v>
      </c>
      <c r="F9" s="86"/>
      <c r="G9" s="86"/>
      <c r="H9" s="62" t="s">
        <v>135</v>
      </c>
      <c r="I9" s="105"/>
      <c r="J9" s="86"/>
      <c r="K9" s="62" t="s">
        <v>147</v>
      </c>
      <c r="L9" s="86"/>
      <c r="M9" s="62" t="s">
        <v>448</v>
      </c>
      <c r="N9" s="62" t="s">
        <v>166</v>
      </c>
      <c r="P9" s="62"/>
      <c r="Q9" s="62"/>
      <c r="R9" s="62"/>
      <c r="S9" s="62"/>
      <c r="T9" s="62"/>
      <c r="U9" s="62"/>
      <c r="V9" s="62"/>
      <c r="W9" s="62"/>
      <c r="X9" s="62"/>
      <c r="Y9" s="62"/>
      <c r="Z9" s="62"/>
      <c r="AA9" s="62"/>
      <c r="AB9" s="62"/>
      <c r="AC9" s="62"/>
    </row>
    <row r="10" spans="2:29" s="40" customFormat="1" ht="19" x14ac:dyDescent="0.25">
      <c r="B10" s="62" t="s">
        <v>456</v>
      </c>
      <c r="C10" s="62">
        <v>7</v>
      </c>
      <c r="D10" s="62" t="s">
        <v>457</v>
      </c>
      <c r="E10" s="62" t="s">
        <v>159</v>
      </c>
      <c r="F10" s="86"/>
      <c r="G10" s="86"/>
      <c r="H10" s="62" t="s">
        <v>135</v>
      </c>
      <c r="I10" s="105"/>
      <c r="J10" s="86"/>
      <c r="K10" s="62" t="s">
        <v>147</v>
      </c>
      <c r="L10" s="86"/>
      <c r="M10" s="62" t="s">
        <v>448</v>
      </c>
      <c r="N10" s="62" t="s">
        <v>166</v>
      </c>
      <c r="P10" s="62"/>
      <c r="Q10" s="62"/>
      <c r="R10" s="62"/>
      <c r="S10" s="62"/>
      <c r="T10" s="62"/>
      <c r="U10" s="62"/>
      <c r="V10" s="62"/>
      <c r="W10" s="62"/>
      <c r="X10" s="62"/>
      <c r="Y10" s="62"/>
      <c r="Z10" s="62"/>
      <c r="AA10" s="62"/>
      <c r="AB10" s="62"/>
      <c r="AC10" s="62"/>
    </row>
    <row r="11" spans="2:29" s="40" customFormat="1" ht="19" x14ac:dyDescent="0.25">
      <c r="B11" s="62" t="s">
        <v>458</v>
      </c>
      <c r="C11" s="62">
        <v>8</v>
      </c>
      <c r="D11" s="62" t="s">
        <v>459</v>
      </c>
      <c r="E11" s="62" t="s">
        <v>135</v>
      </c>
      <c r="F11" s="86"/>
      <c r="G11" s="86"/>
      <c r="H11" s="62" t="s">
        <v>137</v>
      </c>
      <c r="I11" s="105"/>
      <c r="J11" s="86"/>
      <c r="K11" s="62" t="s">
        <v>144</v>
      </c>
      <c r="L11" s="86"/>
      <c r="M11" s="62" t="s">
        <v>140</v>
      </c>
      <c r="N11" s="62" t="s">
        <v>166</v>
      </c>
      <c r="P11" s="62"/>
      <c r="Q11" s="62"/>
      <c r="R11" s="62"/>
      <c r="S11" s="62"/>
      <c r="T11" s="62"/>
      <c r="U11" s="62"/>
      <c r="V11" s="62"/>
      <c r="W11" s="62"/>
      <c r="X11" s="62"/>
      <c r="Y11" s="62"/>
      <c r="Z11" s="62"/>
      <c r="AA11" s="62"/>
      <c r="AB11" s="62"/>
      <c r="AC11" s="62"/>
    </row>
    <row r="12" spans="2:29" s="40" customFormat="1" ht="19" x14ac:dyDescent="0.25">
      <c r="B12" s="62" t="s">
        <v>460</v>
      </c>
      <c r="C12" s="62">
        <v>9</v>
      </c>
      <c r="D12" s="62" t="s">
        <v>461</v>
      </c>
      <c r="E12" s="62" t="s">
        <v>135</v>
      </c>
      <c r="F12" s="86"/>
      <c r="G12" s="86"/>
      <c r="H12" s="62" t="s">
        <v>135</v>
      </c>
      <c r="I12" s="105"/>
      <c r="J12" s="86"/>
      <c r="K12" s="62" t="s">
        <v>144</v>
      </c>
      <c r="L12" s="86"/>
      <c r="M12" s="62" t="s">
        <v>448</v>
      </c>
      <c r="N12" s="62" t="s">
        <v>166</v>
      </c>
      <c r="P12" s="62"/>
      <c r="Q12" s="62"/>
      <c r="R12" s="62"/>
      <c r="S12" s="62"/>
      <c r="T12" s="62"/>
      <c r="U12" s="62"/>
      <c r="V12" s="62"/>
      <c r="W12" s="62"/>
      <c r="X12" s="62"/>
      <c r="Y12" s="62"/>
      <c r="Z12" s="62"/>
      <c r="AA12" s="62"/>
      <c r="AB12" s="62"/>
      <c r="AC12" s="62"/>
    </row>
    <row r="13" spans="2:29" s="40" customFormat="1" ht="19" x14ac:dyDescent="0.25">
      <c r="B13" s="93" t="s">
        <v>462</v>
      </c>
      <c r="C13" s="94"/>
      <c r="D13" s="94"/>
      <c r="E13" s="95"/>
      <c r="F13" s="90"/>
      <c r="G13" s="90"/>
      <c r="H13" s="95"/>
      <c r="I13" s="90"/>
      <c r="J13" s="87"/>
      <c r="K13" s="95"/>
      <c r="L13" s="87"/>
      <c r="M13" s="95"/>
      <c r="N13" s="94"/>
    </row>
    <row r="14" spans="2:29" s="40" customFormat="1" ht="19" x14ac:dyDescent="0.25">
      <c r="B14" s="62" t="s">
        <v>463</v>
      </c>
      <c r="C14" s="62">
        <v>10</v>
      </c>
      <c r="D14" s="62" t="s">
        <v>464</v>
      </c>
      <c r="E14" s="62" t="s">
        <v>159</v>
      </c>
      <c r="F14" s="86"/>
      <c r="G14" s="86"/>
      <c r="H14" s="62" t="s">
        <v>135</v>
      </c>
      <c r="I14" s="105"/>
      <c r="J14" s="86"/>
      <c r="K14" s="62" t="s">
        <v>147</v>
      </c>
      <c r="L14" s="86"/>
      <c r="M14" s="62" t="s">
        <v>448</v>
      </c>
      <c r="N14" s="62" t="s">
        <v>166</v>
      </c>
      <c r="P14" s="62"/>
      <c r="Q14" s="62"/>
      <c r="R14" s="62"/>
      <c r="S14" s="62"/>
      <c r="T14" s="62"/>
      <c r="U14" s="62"/>
      <c r="V14" s="62"/>
      <c r="W14" s="62"/>
      <c r="X14" s="62"/>
      <c r="Y14" s="62"/>
      <c r="Z14" s="62"/>
    </row>
    <row r="15" spans="2:29" s="40" customFormat="1" ht="19" x14ac:dyDescent="0.25">
      <c r="B15" s="62" t="s">
        <v>465</v>
      </c>
      <c r="C15" s="62">
        <v>11</v>
      </c>
      <c r="D15" s="62" t="s">
        <v>466</v>
      </c>
      <c r="E15" s="62" t="s">
        <v>159</v>
      </c>
      <c r="F15" s="86"/>
      <c r="G15" s="86"/>
      <c r="H15" s="62" t="s">
        <v>135</v>
      </c>
      <c r="I15" s="105"/>
      <c r="J15" s="86"/>
      <c r="K15" s="62" t="s">
        <v>147</v>
      </c>
      <c r="L15" s="86"/>
      <c r="M15" s="62" t="s">
        <v>448</v>
      </c>
      <c r="N15" s="62" t="s">
        <v>166</v>
      </c>
      <c r="P15" s="62"/>
      <c r="Q15" s="62"/>
      <c r="R15" s="62"/>
      <c r="S15" s="62"/>
      <c r="T15" s="62"/>
      <c r="U15" s="62"/>
      <c r="V15" s="62"/>
      <c r="W15" s="62"/>
      <c r="X15" s="62"/>
      <c r="Y15" s="62"/>
      <c r="Z15" s="62"/>
    </row>
    <row r="16" spans="2:29" s="40" customFormat="1" ht="19" x14ac:dyDescent="0.25">
      <c r="B16" s="62" t="s">
        <v>467</v>
      </c>
      <c r="C16" s="62">
        <v>12</v>
      </c>
      <c r="D16" s="62" t="s">
        <v>468</v>
      </c>
      <c r="E16" s="62" t="s">
        <v>159</v>
      </c>
      <c r="F16" s="86"/>
      <c r="G16" s="86"/>
      <c r="H16" s="62" t="s">
        <v>135</v>
      </c>
      <c r="I16" s="105"/>
      <c r="J16" s="86"/>
      <c r="K16" s="62" t="s">
        <v>147</v>
      </c>
      <c r="L16" s="86"/>
      <c r="M16" s="62" t="s">
        <v>448</v>
      </c>
      <c r="N16" s="62" t="s">
        <v>166</v>
      </c>
      <c r="P16" s="62"/>
      <c r="Q16" s="62"/>
      <c r="R16" s="62"/>
      <c r="S16" s="62"/>
      <c r="T16" s="62"/>
      <c r="U16" s="62"/>
      <c r="V16" s="62"/>
      <c r="W16" s="62"/>
      <c r="X16" s="62"/>
      <c r="Y16" s="62"/>
      <c r="Z16" s="62"/>
    </row>
    <row r="17" spans="1:28" s="40" customFormat="1" ht="19" x14ac:dyDescent="0.25">
      <c r="B17" s="62" t="s">
        <v>469</v>
      </c>
      <c r="C17" s="62">
        <v>13</v>
      </c>
      <c r="D17" s="62" t="s">
        <v>470</v>
      </c>
      <c r="E17" s="62" t="s">
        <v>135</v>
      </c>
      <c r="F17" s="86"/>
      <c r="G17" s="86"/>
      <c r="H17" s="62" t="s">
        <v>135</v>
      </c>
      <c r="I17" s="105"/>
      <c r="J17" s="86"/>
      <c r="K17" s="62" t="s">
        <v>147</v>
      </c>
      <c r="L17" s="86"/>
      <c r="M17" s="62" t="s">
        <v>448</v>
      </c>
      <c r="N17" s="62" t="s">
        <v>166</v>
      </c>
      <c r="P17" s="62"/>
      <c r="Q17" s="62"/>
      <c r="R17" s="62"/>
      <c r="S17" s="62"/>
      <c r="T17" s="62"/>
      <c r="U17" s="62"/>
      <c r="V17" s="62"/>
      <c r="W17" s="62"/>
      <c r="X17" s="62"/>
      <c r="Y17" s="62"/>
      <c r="Z17" s="62"/>
    </row>
    <row r="18" spans="1:28" s="40" customFormat="1" ht="19" x14ac:dyDescent="0.25">
      <c r="B18" s="93" t="s">
        <v>471</v>
      </c>
      <c r="C18" s="94"/>
      <c r="D18" s="94"/>
      <c r="E18" s="95"/>
      <c r="F18" s="90"/>
      <c r="G18" s="90"/>
      <c r="H18" s="95"/>
      <c r="I18" s="90"/>
      <c r="J18" s="87"/>
      <c r="K18" s="95"/>
      <c r="L18" s="87"/>
      <c r="M18" s="95"/>
      <c r="N18" s="94"/>
    </row>
    <row r="19" spans="1:28" s="40" customFormat="1" ht="19" x14ac:dyDescent="0.25">
      <c r="B19" s="62" t="s">
        <v>472</v>
      </c>
      <c r="C19" s="62">
        <v>14</v>
      </c>
      <c r="D19" s="62" t="s">
        <v>473</v>
      </c>
      <c r="E19" s="62" t="s">
        <v>135</v>
      </c>
      <c r="F19" s="86"/>
      <c r="G19" s="86"/>
      <c r="H19" s="62" t="s">
        <v>135</v>
      </c>
      <c r="I19" s="105"/>
      <c r="J19" s="86"/>
      <c r="K19" s="62" t="s">
        <v>147</v>
      </c>
      <c r="L19" s="86"/>
      <c r="M19" s="62" t="s">
        <v>448</v>
      </c>
      <c r="N19" s="62" t="s">
        <v>166</v>
      </c>
      <c r="P19" s="62"/>
      <c r="Q19" s="62"/>
      <c r="R19" s="62"/>
      <c r="S19" s="62"/>
      <c r="T19" s="62"/>
      <c r="U19" s="62"/>
      <c r="V19" s="62"/>
      <c r="W19" s="62"/>
      <c r="X19" s="62"/>
      <c r="Y19" s="62"/>
      <c r="Z19" s="62"/>
      <c r="AA19" s="62"/>
      <c r="AB19" s="62"/>
    </row>
    <row r="20" spans="1:28" s="40" customFormat="1" ht="19" x14ac:dyDescent="0.25">
      <c r="B20" s="62" t="s">
        <v>474</v>
      </c>
      <c r="C20" s="62">
        <v>15</v>
      </c>
      <c r="D20" s="62" t="s">
        <v>475</v>
      </c>
      <c r="E20" s="62" t="s">
        <v>135</v>
      </c>
      <c r="F20" s="86"/>
      <c r="G20" s="86"/>
      <c r="H20" s="62" t="s">
        <v>137</v>
      </c>
      <c r="I20" s="105"/>
      <c r="J20" s="86"/>
      <c r="K20" s="62" t="s">
        <v>147</v>
      </c>
      <c r="L20" s="86"/>
      <c r="M20" s="62" t="s">
        <v>140</v>
      </c>
      <c r="N20" s="62" t="s">
        <v>166</v>
      </c>
      <c r="P20" s="62"/>
      <c r="Q20" s="62"/>
      <c r="R20" s="62"/>
      <c r="S20" s="62"/>
      <c r="T20" s="62"/>
      <c r="U20" s="62"/>
      <c r="V20" s="62"/>
      <c r="W20" s="62"/>
      <c r="X20" s="62"/>
      <c r="Y20" s="62"/>
      <c r="Z20" s="62"/>
      <c r="AA20" s="62"/>
      <c r="AB20" s="62"/>
    </row>
    <row r="21" spans="1:28" s="40" customFormat="1" ht="19" x14ac:dyDescent="0.25">
      <c r="B21" s="62" t="s">
        <v>476</v>
      </c>
      <c r="C21" s="62">
        <v>16</v>
      </c>
      <c r="D21" s="62" t="s">
        <v>477</v>
      </c>
      <c r="E21" s="62" t="s">
        <v>135</v>
      </c>
      <c r="F21" s="86"/>
      <c r="G21" s="86"/>
      <c r="H21" s="62" t="s">
        <v>137</v>
      </c>
      <c r="I21" s="105"/>
      <c r="J21" s="86"/>
      <c r="K21" s="62" t="s">
        <v>147</v>
      </c>
      <c r="L21" s="86"/>
      <c r="M21" s="62" t="s">
        <v>140</v>
      </c>
      <c r="N21" s="62" t="s">
        <v>166</v>
      </c>
      <c r="P21" s="62"/>
      <c r="Q21" s="62"/>
      <c r="R21" s="62"/>
      <c r="S21" s="62"/>
      <c r="T21" s="62"/>
      <c r="U21" s="62"/>
      <c r="V21" s="62"/>
      <c r="W21" s="62"/>
      <c r="X21" s="62"/>
      <c r="Y21" s="62"/>
      <c r="Z21" s="62"/>
      <c r="AA21" s="62"/>
      <c r="AB21" s="62"/>
    </row>
    <row r="22" spans="1:28" s="40" customFormat="1" ht="19" x14ac:dyDescent="0.25">
      <c r="B22" s="62" t="s">
        <v>478</v>
      </c>
      <c r="C22" s="62">
        <v>17</v>
      </c>
      <c r="D22" s="62" t="s">
        <v>479</v>
      </c>
      <c r="E22" s="62" t="s">
        <v>135</v>
      </c>
      <c r="F22" s="86"/>
      <c r="G22" s="86"/>
      <c r="H22" s="62" t="s">
        <v>137</v>
      </c>
      <c r="I22" s="105"/>
      <c r="J22" s="86"/>
      <c r="K22" s="62" t="s">
        <v>147</v>
      </c>
      <c r="L22" s="86"/>
      <c r="M22" s="62" t="s">
        <v>140</v>
      </c>
      <c r="N22" s="62" t="s">
        <v>166</v>
      </c>
      <c r="P22" s="62"/>
      <c r="Q22" s="62"/>
      <c r="R22" s="62"/>
      <c r="S22" s="62"/>
      <c r="T22" s="62"/>
      <c r="U22" s="62"/>
      <c r="V22" s="62"/>
      <c r="W22" s="62"/>
      <c r="X22" s="62"/>
      <c r="Y22" s="62"/>
      <c r="Z22" s="62"/>
      <c r="AA22" s="62"/>
      <c r="AB22" s="62"/>
    </row>
    <row r="23" spans="1:28" s="40" customFormat="1" ht="19" x14ac:dyDescent="0.25">
      <c r="B23" s="93" t="s">
        <v>480</v>
      </c>
      <c r="C23" s="94"/>
      <c r="D23" s="94"/>
      <c r="E23" s="95"/>
      <c r="F23" s="90"/>
      <c r="G23" s="90"/>
      <c r="H23" s="95"/>
      <c r="I23" s="90"/>
      <c r="J23" s="87"/>
      <c r="K23" s="95"/>
      <c r="L23" s="87"/>
      <c r="M23" s="95"/>
      <c r="N23" s="94"/>
    </row>
    <row r="24" spans="1:28" s="40" customFormat="1" ht="19" x14ac:dyDescent="0.25">
      <c r="B24" s="62" t="s">
        <v>481</v>
      </c>
      <c r="C24" s="62">
        <v>18</v>
      </c>
      <c r="D24" s="62" t="s">
        <v>482</v>
      </c>
      <c r="E24" s="62" t="s">
        <v>135</v>
      </c>
      <c r="F24" s="86"/>
      <c r="G24" s="86"/>
      <c r="H24" s="62" t="s">
        <v>135</v>
      </c>
      <c r="I24" s="105"/>
      <c r="J24" s="86"/>
      <c r="K24" s="62" t="s">
        <v>147</v>
      </c>
      <c r="L24" s="86"/>
      <c r="M24" s="62" t="s">
        <v>448</v>
      </c>
      <c r="N24" s="62" t="s">
        <v>166</v>
      </c>
      <c r="P24" s="62"/>
      <c r="Q24" s="62"/>
      <c r="R24" s="62"/>
      <c r="S24" s="62"/>
      <c r="T24" s="62"/>
      <c r="U24" s="62"/>
      <c r="V24" s="62"/>
      <c r="W24" s="62"/>
      <c r="X24" s="62"/>
      <c r="Y24" s="62"/>
      <c r="Z24" s="62"/>
      <c r="AA24" s="62"/>
    </row>
    <row r="25" spans="1:28" s="40" customFormat="1" ht="19" x14ac:dyDescent="0.25">
      <c r="B25" s="62" t="s">
        <v>483</v>
      </c>
      <c r="C25" s="62">
        <v>19</v>
      </c>
      <c r="D25" s="62" t="s">
        <v>484</v>
      </c>
      <c r="E25" s="62" t="s">
        <v>135</v>
      </c>
      <c r="F25" s="86"/>
      <c r="G25" s="86"/>
      <c r="H25" s="62" t="s">
        <v>135</v>
      </c>
      <c r="I25" s="105"/>
      <c r="J25" s="86"/>
      <c r="K25" s="62" t="s">
        <v>147</v>
      </c>
      <c r="L25" s="86"/>
      <c r="M25" s="62" t="s">
        <v>448</v>
      </c>
      <c r="N25" s="62" t="s">
        <v>166</v>
      </c>
      <c r="P25" s="62"/>
      <c r="Q25" s="62"/>
      <c r="R25" s="62"/>
      <c r="S25" s="62"/>
      <c r="T25" s="62"/>
      <c r="U25" s="62"/>
      <c r="V25" s="62"/>
      <c r="W25" s="62"/>
      <c r="X25" s="62"/>
      <c r="Y25" s="62"/>
      <c r="Z25" s="62"/>
      <c r="AA25" s="62"/>
    </row>
    <row r="26" spans="1:28" s="40" customFormat="1" ht="19" x14ac:dyDescent="0.25">
      <c r="B26" s="93" t="s">
        <v>485</v>
      </c>
      <c r="C26" s="87"/>
      <c r="D26" s="87"/>
      <c r="E26" s="87"/>
      <c r="F26" s="87"/>
      <c r="G26" s="87"/>
      <c r="H26" s="87"/>
      <c r="I26" s="87"/>
      <c r="J26" s="87"/>
      <c r="K26" s="87"/>
      <c r="L26" s="87"/>
      <c r="M26" s="87"/>
      <c r="N26" s="87"/>
    </row>
    <row r="27" spans="1:28" s="40" customFormat="1" ht="19" x14ac:dyDescent="0.25">
      <c r="B27" s="62" t="s">
        <v>486</v>
      </c>
      <c r="C27" s="62">
        <v>20</v>
      </c>
      <c r="D27" s="62" t="s">
        <v>487</v>
      </c>
      <c r="E27" s="62" t="s">
        <v>135</v>
      </c>
      <c r="F27" s="86"/>
      <c r="G27" s="86"/>
      <c r="H27" s="62" t="s">
        <v>137</v>
      </c>
      <c r="I27" s="105"/>
      <c r="J27" s="86"/>
      <c r="K27" s="62" t="s">
        <v>144</v>
      </c>
      <c r="L27" s="86"/>
      <c r="M27" s="62" t="s">
        <v>488</v>
      </c>
      <c r="N27" s="62" t="s">
        <v>166</v>
      </c>
      <c r="P27" s="62"/>
      <c r="Q27" s="62"/>
      <c r="R27" s="62"/>
      <c r="S27" s="62"/>
      <c r="T27" s="62"/>
      <c r="U27" s="62"/>
      <c r="V27" s="62"/>
      <c r="W27" s="62"/>
      <c r="X27" s="62"/>
    </row>
    <row r="28" spans="1:28" s="40" customFormat="1" ht="19" x14ac:dyDescent="0.25">
      <c r="B28" s="62" t="s">
        <v>489</v>
      </c>
      <c r="C28" s="62">
        <v>21</v>
      </c>
      <c r="D28" s="62" t="s">
        <v>490</v>
      </c>
      <c r="E28" s="62" t="s">
        <v>135</v>
      </c>
      <c r="F28" s="86"/>
      <c r="G28" s="86"/>
      <c r="H28" s="62" t="s">
        <v>137</v>
      </c>
      <c r="I28" s="105"/>
      <c r="J28" s="86"/>
      <c r="K28" s="62" t="s">
        <v>144</v>
      </c>
      <c r="L28" s="86"/>
      <c r="M28" s="62" t="s">
        <v>488</v>
      </c>
      <c r="N28" s="62" t="s">
        <v>166</v>
      </c>
      <c r="P28" s="62"/>
      <c r="Q28" s="62"/>
      <c r="R28" s="62"/>
      <c r="S28" s="62"/>
      <c r="T28" s="62"/>
      <c r="U28" s="62"/>
      <c r="V28" s="62"/>
      <c r="W28" s="62"/>
      <c r="X28" s="62"/>
    </row>
    <row r="29" spans="1:28" s="40" customFormat="1" ht="19" x14ac:dyDescent="0.25">
      <c r="B29" s="62" t="s">
        <v>491</v>
      </c>
      <c r="C29" s="62">
        <v>22</v>
      </c>
      <c r="D29" s="62" t="s">
        <v>492</v>
      </c>
      <c r="E29" s="62" t="s">
        <v>159</v>
      </c>
      <c r="F29" s="86"/>
      <c r="G29" s="86"/>
      <c r="H29" s="62" t="s">
        <v>135</v>
      </c>
      <c r="I29" s="105"/>
      <c r="J29" s="86"/>
      <c r="K29" s="62" t="s">
        <v>147</v>
      </c>
      <c r="L29" s="86"/>
      <c r="M29" s="62" t="s">
        <v>140</v>
      </c>
      <c r="N29" s="62" t="s">
        <v>166</v>
      </c>
      <c r="P29" s="62"/>
      <c r="Q29" s="62"/>
      <c r="R29" s="62"/>
      <c r="S29" s="62"/>
      <c r="T29" s="62"/>
      <c r="U29" s="62"/>
      <c r="V29" s="62"/>
      <c r="W29" s="62"/>
      <c r="X29" s="62"/>
    </row>
    <row r="30" spans="1:28" s="40" customFormat="1" ht="19" x14ac:dyDescent="0.25">
      <c r="B30" s="62" t="s">
        <v>493</v>
      </c>
      <c r="C30" s="62">
        <v>23</v>
      </c>
      <c r="D30" s="62" t="s">
        <v>494</v>
      </c>
      <c r="E30" s="62" t="s">
        <v>135</v>
      </c>
      <c r="F30" s="86"/>
      <c r="G30" s="86"/>
      <c r="H30" s="62" t="s">
        <v>135</v>
      </c>
      <c r="I30" s="105"/>
      <c r="J30" s="86"/>
      <c r="K30" s="62" t="s">
        <v>147</v>
      </c>
      <c r="L30" s="86"/>
      <c r="M30" s="62" t="s">
        <v>448</v>
      </c>
      <c r="N30" s="62" t="s">
        <v>166</v>
      </c>
      <c r="P30" s="62"/>
      <c r="Q30" s="62"/>
      <c r="R30" s="62"/>
      <c r="S30" s="62"/>
      <c r="T30" s="62"/>
      <c r="U30" s="62"/>
      <c r="V30" s="62"/>
      <c r="W30" s="62"/>
      <c r="X30" s="62"/>
    </row>
    <row r="31" spans="1:28" s="40" customFormat="1" ht="19" x14ac:dyDescent="0.25">
      <c r="B31" s="93" t="s">
        <v>495</v>
      </c>
      <c r="C31" s="87"/>
      <c r="D31" s="87"/>
      <c r="E31" s="87"/>
      <c r="F31" s="87"/>
      <c r="G31" s="87"/>
      <c r="H31" s="87"/>
      <c r="I31" s="87"/>
      <c r="J31" s="87"/>
      <c r="K31" s="87"/>
      <c r="L31" s="87"/>
      <c r="M31" s="87"/>
      <c r="N31" s="87"/>
    </row>
    <row r="32" spans="1:28" s="40" customFormat="1" ht="19" x14ac:dyDescent="0.25">
      <c r="A32" s="62">
        <v>24</v>
      </c>
      <c r="B32" s="62" t="s">
        <v>496</v>
      </c>
      <c r="C32" s="62">
        <v>24</v>
      </c>
      <c r="D32" s="62" t="s">
        <v>497</v>
      </c>
      <c r="E32" s="62" t="s">
        <v>135</v>
      </c>
      <c r="F32" s="86"/>
      <c r="G32" s="86"/>
      <c r="H32" s="62" t="s">
        <v>137</v>
      </c>
      <c r="I32" s="105"/>
      <c r="J32" s="86"/>
      <c r="K32" s="62" t="s">
        <v>144</v>
      </c>
      <c r="L32" s="86"/>
      <c r="M32" s="62" t="s">
        <v>488</v>
      </c>
      <c r="N32" s="62" t="s">
        <v>166</v>
      </c>
      <c r="P32" s="62"/>
      <c r="Q32" s="62"/>
      <c r="R32" s="62"/>
      <c r="S32" s="62"/>
      <c r="T32" s="62"/>
      <c r="U32" s="62"/>
      <c r="V32" s="62"/>
      <c r="W32" s="62"/>
      <c r="X32" s="62"/>
    </row>
    <row r="33" spans="1:14" s="40" customFormat="1" ht="19" x14ac:dyDescent="0.25">
      <c r="A33" s="62">
        <v>25</v>
      </c>
      <c r="B33" s="65" t="s">
        <v>646</v>
      </c>
      <c r="C33" s="87"/>
      <c r="D33" s="87" t="s">
        <v>498</v>
      </c>
      <c r="E33" s="87"/>
      <c r="F33" s="87"/>
      <c r="G33" s="87"/>
      <c r="H33" s="87"/>
      <c r="I33" s="87"/>
      <c r="J33" s="87"/>
      <c r="K33" s="87"/>
      <c r="L33" s="87"/>
      <c r="M33" s="87"/>
      <c r="N33" s="87"/>
    </row>
    <row r="34" spans="1:14" ht="19" x14ac:dyDescent="0.25">
      <c r="F34"/>
      <c r="G34" s="40"/>
      <c r="I34"/>
      <c r="J34"/>
      <c r="L34"/>
    </row>
    <row r="35" spans="1:14" ht="5" customHeight="1" x14ac:dyDescent="0.25">
      <c r="B35" s="145"/>
      <c r="C35" s="118"/>
      <c r="D35" s="118"/>
      <c r="E35" s="144"/>
      <c r="F35" s="118"/>
      <c r="G35" s="145"/>
      <c r="H35" s="144"/>
      <c r="I35" s="118"/>
      <c r="J35" s="118"/>
      <c r="K35" s="144"/>
      <c r="L35" s="118"/>
      <c r="M35" s="144"/>
      <c r="N35" s="118"/>
    </row>
    <row r="36" spans="1:14" ht="19" x14ac:dyDescent="0.25">
      <c r="F36"/>
      <c r="G36" s="40"/>
      <c r="I36"/>
      <c r="J36"/>
      <c r="L36"/>
    </row>
    <row r="37" spans="1:14" ht="19" x14ac:dyDescent="0.25">
      <c r="C37" s="40"/>
      <c r="J37"/>
    </row>
    <row r="38" spans="1:14" x14ac:dyDescent="0.2">
      <c r="B38" s="70"/>
      <c r="C38" s="70"/>
      <c r="J38"/>
    </row>
    <row r="39" spans="1:14" x14ac:dyDescent="0.2">
      <c r="B39" s="62"/>
      <c r="C39" s="62"/>
    </row>
    <row r="40" spans="1:14" x14ac:dyDescent="0.2">
      <c r="B40" s="62"/>
      <c r="C40" s="62"/>
    </row>
    <row r="41" spans="1:14" x14ac:dyDescent="0.2">
      <c r="B41" s="62"/>
      <c r="C41" s="62"/>
    </row>
    <row r="42" spans="1:14" x14ac:dyDescent="0.2">
      <c r="B42" s="62"/>
      <c r="C42" s="62"/>
    </row>
    <row r="43" spans="1:14" x14ac:dyDescent="0.2">
      <c r="B43" s="62"/>
      <c r="C43" s="62"/>
    </row>
    <row r="45" spans="1:14" x14ac:dyDescent="0.2">
      <c r="B45" s="70"/>
      <c r="C45" s="70"/>
    </row>
    <row r="46" spans="1:14" x14ac:dyDescent="0.2">
      <c r="B46" s="62"/>
      <c r="C46" s="62"/>
    </row>
    <row r="47" spans="1:14" x14ac:dyDescent="0.2">
      <c r="B47" s="62"/>
      <c r="C47" s="62"/>
    </row>
  </sheetData>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59D1A02-6725-4710-BE60-0C7DD3FA9ED8}">
          <x14:formula1>
            <xm:f>' Parametros, no tocar'!$F$4:$F$10</xm:f>
          </x14:formula1>
          <xm:sqref>G3:G7 G9:G12 G14:G17 G19:G22 G24:G25 G27:G30 G32</xm:sqref>
        </x14:dataValidation>
        <x14:dataValidation type="list" allowBlank="1" showInputMessage="1" showErrorMessage="1" xr:uid="{6044D891-089D-4CB4-969C-2C6ECEE8ECD3}">
          <x14:formula1>
            <xm:f>' Parametros, no tocar'!$B$4:$B$5</xm:f>
          </x14:formula1>
          <xm:sqref>F3:F7 F9:F12 F14:F17 F19:F22 F24:F25 F27:F30 F32</xm:sqref>
        </x14:dataValidation>
        <x14:dataValidation type="list" allowBlank="1" showInputMessage="1" showErrorMessage="1" xr:uid="{4D272538-0992-41A3-9EE2-409D2E8E492E}">
          <x14:formula1>
            <xm:f>' Parametros, no tocar'!$B$8:$B$11</xm:f>
          </x14:formula1>
          <xm:sqref>I32 I27:I30 I24:I25 I19:I22 I14:I17 I9:I12 I3:I7</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45EFE-6D88-44D0-A403-4EDFCD96733E}">
  <sheetPr>
    <tabColor theme="9" tint="0.59999389629810485"/>
  </sheetPr>
  <dimension ref="A1:C46"/>
  <sheetViews>
    <sheetView workbookViewId="0">
      <selection activeCell="B48" sqref="B48"/>
    </sheetView>
  </sheetViews>
  <sheetFormatPr baseColWidth="10" defaultColWidth="11" defaultRowHeight="16" x14ac:dyDescent="0.2"/>
  <cols>
    <col min="1" max="1" width="57.83203125" customWidth="1"/>
    <col min="2" max="2" width="197.6640625" customWidth="1"/>
    <col min="3" max="3" width="37.83203125" customWidth="1"/>
  </cols>
  <sheetData>
    <row r="1" spans="1:3" x14ac:dyDescent="0.2">
      <c r="A1" s="103" t="s">
        <v>837</v>
      </c>
      <c r="B1" s="103" t="s">
        <v>613</v>
      </c>
      <c r="C1" s="105" t="s">
        <v>204</v>
      </c>
    </row>
    <row r="2" spans="1:3" x14ac:dyDescent="0.2">
      <c r="A2" s="93" t="s">
        <v>440</v>
      </c>
      <c r="B2" s="64"/>
      <c r="C2" s="64"/>
    </row>
    <row r="3" spans="1:3" ht="19" x14ac:dyDescent="0.2">
      <c r="A3" s="62" t="s">
        <v>441</v>
      </c>
      <c r="B3" t="s">
        <v>499</v>
      </c>
      <c r="C3" s="122"/>
    </row>
    <row r="4" spans="1:3" x14ac:dyDescent="0.2">
      <c r="A4" s="62" t="s">
        <v>444</v>
      </c>
      <c r="B4" t="s">
        <v>500</v>
      </c>
      <c r="C4" s="86"/>
    </row>
    <row r="5" spans="1:3" x14ac:dyDescent="0.2">
      <c r="A5" s="62" t="s">
        <v>446</v>
      </c>
      <c r="B5" t="s">
        <v>501</v>
      </c>
      <c r="C5" s="121"/>
    </row>
    <row r="6" spans="1:3" x14ac:dyDescent="0.2">
      <c r="A6" s="62" t="s">
        <v>449</v>
      </c>
      <c r="B6" t="s">
        <v>502</v>
      </c>
      <c r="C6" s="86"/>
    </row>
    <row r="7" spans="1:3" x14ac:dyDescent="0.2">
      <c r="A7" s="62" t="s">
        <v>451</v>
      </c>
      <c r="B7" t="s">
        <v>503</v>
      </c>
      <c r="C7" s="141"/>
    </row>
    <row r="8" spans="1:3" x14ac:dyDescent="0.2">
      <c r="A8" s="93" t="s">
        <v>453</v>
      </c>
      <c r="B8" s="64"/>
      <c r="C8" s="85"/>
    </row>
    <row r="9" spans="1:3" x14ac:dyDescent="0.2">
      <c r="A9" s="62" t="s">
        <v>454</v>
      </c>
      <c r="B9" t="s">
        <v>504</v>
      </c>
      <c r="C9" s="141"/>
    </row>
    <row r="10" spans="1:3" x14ac:dyDescent="0.2">
      <c r="A10" s="62" t="s">
        <v>456</v>
      </c>
      <c r="B10" t="s">
        <v>505</v>
      </c>
      <c r="C10" s="141"/>
    </row>
    <row r="11" spans="1:3" x14ac:dyDescent="0.2">
      <c r="A11" s="62" t="s">
        <v>458</v>
      </c>
      <c r="B11" t="s">
        <v>506</v>
      </c>
      <c r="C11" s="147"/>
    </row>
    <row r="12" spans="1:3" x14ac:dyDescent="0.2">
      <c r="A12" s="62" t="s">
        <v>460</v>
      </c>
      <c r="B12" t="s">
        <v>507</v>
      </c>
      <c r="C12" s="121"/>
    </row>
    <row r="13" spans="1:3" x14ac:dyDescent="0.2">
      <c r="A13" s="93" t="s">
        <v>462</v>
      </c>
      <c r="B13" s="64"/>
      <c r="C13" s="85"/>
    </row>
    <row r="14" spans="1:3" x14ac:dyDescent="0.2">
      <c r="A14" s="62" t="s">
        <v>463</v>
      </c>
      <c r="B14" t="s">
        <v>508</v>
      </c>
      <c r="C14" s="141"/>
    </row>
    <row r="15" spans="1:3" x14ac:dyDescent="0.2">
      <c r="A15" s="62" t="s">
        <v>465</v>
      </c>
      <c r="B15" t="s">
        <v>509</v>
      </c>
      <c r="C15" s="141"/>
    </row>
    <row r="16" spans="1:3" x14ac:dyDescent="0.2">
      <c r="A16" s="62" t="s">
        <v>467</v>
      </c>
      <c r="B16" t="s">
        <v>509</v>
      </c>
      <c r="C16" s="141"/>
    </row>
    <row r="17" spans="1:3" x14ac:dyDescent="0.2">
      <c r="A17" s="62" t="s">
        <v>469</v>
      </c>
      <c r="B17" t="s">
        <v>510</v>
      </c>
      <c r="C17" s="141"/>
    </row>
    <row r="18" spans="1:3" ht="19" x14ac:dyDescent="0.2">
      <c r="A18" s="93" t="s">
        <v>471</v>
      </c>
      <c r="B18" s="64"/>
      <c r="C18" s="65"/>
    </row>
    <row r="19" spans="1:3" x14ac:dyDescent="0.2">
      <c r="A19" s="62" t="s">
        <v>472</v>
      </c>
      <c r="B19" t="s">
        <v>511</v>
      </c>
      <c r="C19" s="86"/>
    </row>
    <row r="20" spans="1:3" x14ac:dyDescent="0.2">
      <c r="A20" s="62" t="s">
        <v>474</v>
      </c>
      <c r="B20" t="s">
        <v>512</v>
      </c>
      <c r="C20" s="121"/>
    </row>
    <row r="21" spans="1:3" x14ac:dyDescent="0.2">
      <c r="A21" s="62" t="s">
        <v>476</v>
      </c>
      <c r="B21" t="s">
        <v>509</v>
      </c>
      <c r="C21" s="86"/>
    </row>
    <row r="22" spans="1:3" x14ac:dyDescent="0.2">
      <c r="A22" s="62" t="s">
        <v>478</v>
      </c>
      <c r="B22" t="s">
        <v>509</v>
      </c>
      <c r="C22" s="121"/>
    </row>
    <row r="23" spans="1:3" x14ac:dyDescent="0.2">
      <c r="A23" s="93" t="s">
        <v>480</v>
      </c>
      <c r="B23" s="64"/>
      <c r="C23" s="85"/>
    </row>
    <row r="24" spans="1:3" x14ac:dyDescent="0.2">
      <c r="A24" s="62" t="s">
        <v>481</v>
      </c>
      <c r="B24" t="s">
        <v>513</v>
      </c>
      <c r="C24" s="86"/>
    </row>
    <row r="25" spans="1:3" x14ac:dyDescent="0.2">
      <c r="A25" s="62" t="s">
        <v>483</v>
      </c>
      <c r="B25" t="s">
        <v>514</v>
      </c>
      <c r="C25" s="141"/>
    </row>
    <row r="26" spans="1:3" x14ac:dyDescent="0.2">
      <c r="A26" s="93" t="s">
        <v>485</v>
      </c>
      <c r="B26" s="64"/>
      <c r="C26" s="146"/>
    </row>
    <row r="27" spans="1:3" x14ac:dyDescent="0.2">
      <c r="A27" s="62" t="s">
        <v>486</v>
      </c>
      <c r="B27" t="s">
        <v>515</v>
      </c>
      <c r="C27" s="147"/>
    </row>
    <row r="28" spans="1:3" x14ac:dyDescent="0.2">
      <c r="A28" s="62" t="s">
        <v>489</v>
      </c>
      <c r="B28" t="s">
        <v>509</v>
      </c>
      <c r="C28" s="86"/>
    </row>
    <row r="29" spans="1:3" x14ac:dyDescent="0.2">
      <c r="A29" s="62" t="s">
        <v>491</v>
      </c>
      <c r="B29" t="s">
        <v>516</v>
      </c>
      <c r="C29" s="121"/>
    </row>
    <row r="30" spans="1:3" x14ac:dyDescent="0.2">
      <c r="A30" s="62" t="s">
        <v>493</v>
      </c>
      <c r="B30" t="s">
        <v>517</v>
      </c>
      <c r="C30" s="86"/>
    </row>
    <row r="31" spans="1:3" x14ac:dyDescent="0.2">
      <c r="A31" s="93" t="s">
        <v>495</v>
      </c>
      <c r="B31" s="64"/>
      <c r="C31" s="85"/>
    </row>
    <row r="32" spans="1:3" x14ac:dyDescent="0.2">
      <c r="A32" s="62" t="s">
        <v>496</v>
      </c>
      <c r="B32" t="s">
        <v>518</v>
      </c>
      <c r="C32" s="147"/>
    </row>
    <row r="33" spans="1:3" x14ac:dyDescent="0.2">
      <c r="A33" s="93" t="s">
        <v>646</v>
      </c>
      <c r="B33" s="64"/>
      <c r="C33" s="85"/>
    </row>
    <row r="34" spans="1:3" x14ac:dyDescent="0.2">
      <c r="A34" s="62"/>
      <c r="C34" s="63"/>
    </row>
    <row r="35" spans="1:3" ht="5" customHeight="1" x14ac:dyDescent="0.2">
      <c r="A35" s="118"/>
      <c r="B35" s="118"/>
      <c r="C35" s="135"/>
    </row>
    <row r="36" spans="1:3" x14ac:dyDescent="0.2">
      <c r="C36" s="62"/>
    </row>
    <row r="37" spans="1:3" x14ac:dyDescent="0.2">
      <c r="C37" s="71"/>
    </row>
    <row r="38" spans="1:3" x14ac:dyDescent="0.2">
      <c r="C38" s="71"/>
    </row>
    <row r="39" spans="1:3" x14ac:dyDescent="0.2">
      <c r="C39" s="75"/>
    </row>
    <row r="41" spans="1:3" ht="19" x14ac:dyDescent="0.2">
      <c r="C41" s="61"/>
    </row>
    <row r="42" spans="1:3" x14ac:dyDescent="0.2">
      <c r="C42" s="62"/>
    </row>
    <row r="43" spans="1:3" x14ac:dyDescent="0.2">
      <c r="C43" s="63"/>
    </row>
    <row r="44" spans="1:3" x14ac:dyDescent="0.2">
      <c r="C44" s="71"/>
    </row>
    <row r="45" spans="1:3" x14ac:dyDescent="0.2">
      <c r="C45" s="71"/>
    </row>
    <row r="46" spans="1:3" x14ac:dyDescent="0.2">
      <c r="C46" s="7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F3FFD-1F90-4EF7-837E-E0D5EBDC4E54}">
  <sheetPr>
    <tabColor theme="9" tint="0.59999389629810485"/>
  </sheetPr>
  <dimension ref="A1:AG74"/>
  <sheetViews>
    <sheetView zoomScale="90" zoomScaleNormal="90" workbookViewId="0">
      <selection activeCell="L27" sqref="L27"/>
    </sheetView>
  </sheetViews>
  <sheetFormatPr baseColWidth="10" defaultColWidth="11" defaultRowHeight="16" x14ac:dyDescent="0.2"/>
  <cols>
    <col min="1" max="1" width="32.83203125" customWidth="1"/>
    <col min="2" max="2" width="13.1640625" customWidth="1"/>
    <col min="3" max="3" width="39.6640625" customWidth="1"/>
    <col min="4" max="4" width="90" customWidth="1"/>
    <col min="9" max="9" width="21.1640625" customWidth="1"/>
    <col min="11" max="11" width="31.1640625" customWidth="1"/>
    <col min="12" max="12" width="21.83203125" customWidth="1"/>
  </cols>
  <sheetData>
    <row r="1" spans="1:33" ht="160" x14ac:dyDescent="0.25">
      <c r="A1" s="83" t="s">
        <v>838</v>
      </c>
      <c r="B1" s="83" t="s">
        <v>593</v>
      </c>
      <c r="C1" s="84" t="s">
        <v>52</v>
      </c>
      <c r="D1" s="67" t="s">
        <v>123</v>
      </c>
      <c r="E1" s="68" t="s">
        <v>124</v>
      </c>
      <c r="F1" s="68" t="s">
        <v>20</v>
      </c>
      <c r="G1" s="67" t="s">
        <v>125</v>
      </c>
      <c r="H1" s="68" t="s">
        <v>126</v>
      </c>
      <c r="I1" s="67" t="s">
        <v>128</v>
      </c>
      <c r="J1" s="68" t="s">
        <v>129</v>
      </c>
      <c r="K1" s="67" t="s">
        <v>130</v>
      </c>
      <c r="L1" s="68" t="s">
        <v>127</v>
      </c>
      <c r="M1" s="67" t="s">
        <v>131</v>
      </c>
      <c r="N1" s="102"/>
    </row>
    <row r="2" spans="1:33" x14ac:dyDescent="0.2">
      <c r="A2" s="64" t="s">
        <v>839</v>
      </c>
      <c r="B2" s="64"/>
      <c r="C2" s="64"/>
      <c r="D2" s="64"/>
      <c r="E2" s="64"/>
      <c r="F2" s="64"/>
      <c r="G2" s="64"/>
      <c r="H2" s="64"/>
      <c r="I2" s="64"/>
      <c r="J2" s="64"/>
      <c r="K2" s="64"/>
      <c r="L2" s="64"/>
      <c r="M2" s="64"/>
    </row>
    <row r="3" spans="1:33" ht="19" x14ac:dyDescent="0.25">
      <c r="A3" s="44"/>
      <c r="B3" s="44"/>
      <c r="D3" s="44"/>
      <c r="E3" s="101"/>
      <c r="F3" s="101"/>
      <c r="G3" s="101"/>
      <c r="H3" s="101"/>
      <c r="I3" s="101"/>
      <c r="J3" s="101"/>
      <c r="K3" s="101"/>
      <c r="L3" s="101"/>
      <c r="M3" s="101"/>
      <c r="N3" s="44"/>
      <c r="O3" s="44"/>
      <c r="P3" s="44"/>
      <c r="Q3" s="44"/>
      <c r="R3" s="44"/>
      <c r="S3" s="44"/>
      <c r="T3" s="44"/>
      <c r="U3" s="44"/>
      <c r="V3" s="44"/>
      <c r="W3" s="44"/>
      <c r="X3" s="44"/>
      <c r="Y3" s="44"/>
      <c r="Z3" s="44"/>
      <c r="AA3" s="44"/>
      <c r="AB3" s="44"/>
      <c r="AC3" s="44"/>
      <c r="AD3" s="44"/>
      <c r="AE3" s="44"/>
      <c r="AF3" s="44"/>
      <c r="AG3" s="44"/>
    </row>
    <row r="4" spans="1:33" ht="19" x14ac:dyDescent="0.25">
      <c r="A4" s="40"/>
      <c r="B4" s="40"/>
      <c r="C4" s="40"/>
      <c r="D4" s="40"/>
      <c r="E4" s="41"/>
      <c r="F4" s="41"/>
      <c r="G4" s="41"/>
      <c r="H4" s="41"/>
      <c r="I4" s="41"/>
      <c r="J4" s="41"/>
      <c r="K4" s="41"/>
      <c r="L4" s="40"/>
      <c r="M4" s="40"/>
      <c r="N4" s="40"/>
      <c r="O4" s="40"/>
      <c r="P4" s="40"/>
      <c r="Q4" s="40"/>
      <c r="R4" s="40"/>
      <c r="S4" s="40"/>
      <c r="T4" s="40"/>
      <c r="U4" s="40"/>
      <c r="V4" s="40"/>
      <c r="W4" s="40"/>
      <c r="X4" s="40"/>
      <c r="Y4" s="40"/>
      <c r="Z4" s="40"/>
      <c r="AA4" s="40"/>
      <c r="AB4" s="40"/>
      <c r="AC4" s="40"/>
      <c r="AD4" s="40"/>
      <c r="AE4" s="40"/>
      <c r="AF4" s="40"/>
      <c r="AG4" s="40"/>
    </row>
    <row r="5" spans="1:33" ht="19" x14ac:dyDescent="0.25">
      <c r="A5" s="40"/>
      <c r="B5" s="40"/>
      <c r="C5" s="40"/>
      <c r="D5" s="40"/>
      <c r="E5" s="41"/>
      <c r="F5" s="41"/>
      <c r="G5" s="41"/>
      <c r="H5" s="41"/>
      <c r="I5" s="41"/>
      <c r="J5" s="41"/>
      <c r="K5" s="41"/>
      <c r="L5" s="40"/>
      <c r="M5" s="40"/>
      <c r="N5" s="40"/>
      <c r="O5" s="40"/>
      <c r="P5" s="40"/>
      <c r="Q5" s="40"/>
      <c r="R5" s="40"/>
      <c r="S5" s="40"/>
      <c r="T5" s="40"/>
      <c r="U5" s="40"/>
      <c r="V5" s="40"/>
      <c r="W5" s="40"/>
      <c r="X5" s="40"/>
      <c r="Y5" s="40"/>
      <c r="Z5" s="40"/>
      <c r="AA5" s="40"/>
      <c r="AB5" s="40"/>
      <c r="AC5" s="40"/>
      <c r="AD5" s="40"/>
      <c r="AE5" s="40"/>
      <c r="AF5" s="40"/>
      <c r="AG5" s="40"/>
    </row>
    <row r="6" spans="1:33" ht="19" x14ac:dyDescent="0.25">
      <c r="A6" s="64" t="s">
        <v>840</v>
      </c>
      <c r="B6" s="64"/>
      <c r="C6" s="87"/>
      <c r="D6" s="87"/>
      <c r="E6" s="90"/>
      <c r="F6" s="90"/>
      <c r="G6" s="90"/>
      <c r="H6" s="90"/>
      <c r="I6" s="90"/>
      <c r="J6" s="90"/>
      <c r="K6" s="90"/>
      <c r="L6" s="87"/>
      <c r="M6" s="87"/>
      <c r="N6" s="40"/>
      <c r="O6" s="40"/>
      <c r="P6" s="40"/>
      <c r="Q6" s="40"/>
      <c r="R6" s="40"/>
      <c r="S6" s="40"/>
      <c r="T6" s="40"/>
      <c r="U6" s="40"/>
      <c r="V6" s="40"/>
      <c r="W6" s="40"/>
      <c r="X6" s="40"/>
      <c r="Y6" s="40"/>
      <c r="Z6" s="40"/>
      <c r="AA6" s="40"/>
      <c r="AB6" s="40"/>
      <c r="AC6" s="40"/>
      <c r="AD6" s="40"/>
      <c r="AE6" s="40"/>
      <c r="AF6" s="40"/>
      <c r="AG6" s="40"/>
    </row>
    <row r="7" spans="1:33" ht="19" x14ac:dyDescent="0.25">
      <c r="A7" s="40"/>
      <c r="B7" s="40"/>
      <c r="C7" s="40"/>
      <c r="D7" s="40"/>
      <c r="E7" s="41"/>
      <c r="F7" s="41"/>
      <c r="G7" s="41"/>
      <c r="H7" s="41"/>
      <c r="I7" s="41"/>
      <c r="J7" s="41"/>
      <c r="K7" s="41"/>
      <c r="L7" s="40"/>
      <c r="M7" s="40"/>
      <c r="N7" s="40"/>
      <c r="O7" s="40"/>
      <c r="P7" s="40"/>
      <c r="Q7" s="40"/>
      <c r="R7" s="40"/>
      <c r="S7" s="40"/>
      <c r="T7" s="40"/>
      <c r="U7" s="40"/>
      <c r="V7" s="40"/>
      <c r="W7" s="40"/>
      <c r="X7" s="40"/>
      <c r="Y7" s="40"/>
      <c r="Z7" s="40"/>
      <c r="AA7" s="40"/>
      <c r="AB7" s="40"/>
      <c r="AC7" s="40"/>
      <c r="AD7" s="40"/>
      <c r="AE7" s="40"/>
      <c r="AF7" s="40"/>
      <c r="AG7" s="40"/>
    </row>
    <row r="8" spans="1:33" ht="19" x14ac:dyDescent="0.25">
      <c r="A8" s="40"/>
      <c r="B8" s="40"/>
      <c r="C8" s="40"/>
      <c r="D8" s="40"/>
      <c r="E8" s="41"/>
      <c r="F8" s="41"/>
      <c r="G8" s="41"/>
      <c r="H8" s="41"/>
      <c r="I8" s="41"/>
      <c r="J8" s="41"/>
      <c r="K8" s="41"/>
      <c r="L8" s="40"/>
      <c r="M8" s="40"/>
      <c r="N8" s="40"/>
      <c r="O8" s="40"/>
      <c r="P8" s="40"/>
      <c r="Q8" s="40"/>
      <c r="R8" s="40"/>
      <c r="S8" s="40"/>
      <c r="T8" s="40"/>
      <c r="U8" s="40"/>
      <c r="V8" s="40"/>
      <c r="W8" s="40"/>
      <c r="X8" s="40"/>
      <c r="Y8" s="40"/>
      <c r="Z8" s="40"/>
      <c r="AA8" s="40"/>
      <c r="AB8" s="40"/>
      <c r="AC8" s="40"/>
      <c r="AD8" s="40"/>
      <c r="AE8" s="40"/>
      <c r="AF8" s="40"/>
      <c r="AG8" s="40"/>
    </row>
    <row r="9" spans="1:33" ht="19" x14ac:dyDescent="0.25">
      <c r="A9" s="40"/>
      <c r="B9" s="40"/>
      <c r="C9" s="40"/>
      <c r="D9" s="40"/>
      <c r="E9" s="41"/>
      <c r="F9" s="41"/>
      <c r="G9" s="41"/>
      <c r="H9" s="41"/>
      <c r="I9" s="41"/>
      <c r="J9" s="41"/>
      <c r="K9" s="41"/>
      <c r="L9" s="40"/>
      <c r="M9" s="40"/>
      <c r="N9" s="40"/>
      <c r="O9" s="40"/>
      <c r="P9" s="40"/>
      <c r="Q9" s="40"/>
      <c r="R9" s="40"/>
      <c r="S9" s="40"/>
      <c r="T9" s="40"/>
      <c r="U9" s="40"/>
      <c r="V9" s="40"/>
      <c r="W9" s="40"/>
      <c r="X9" s="40"/>
      <c r="Y9" s="40"/>
      <c r="Z9" s="40"/>
      <c r="AA9" s="40"/>
      <c r="AB9" s="40"/>
      <c r="AC9" s="40"/>
      <c r="AD9" s="40"/>
      <c r="AE9" s="40"/>
      <c r="AF9" s="40"/>
      <c r="AG9" s="40"/>
    </row>
    <row r="11" spans="1:33" ht="19" x14ac:dyDescent="0.25">
      <c r="A11" s="64" t="s">
        <v>841</v>
      </c>
      <c r="B11" s="64"/>
      <c r="C11" s="87"/>
      <c r="D11" s="87"/>
      <c r="E11" s="90"/>
      <c r="F11" s="90"/>
      <c r="G11" s="90"/>
      <c r="H11" s="90"/>
      <c r="I11" s="87"/>
      <c r="J11" s="90"/>
      <c r="K11" s="90"/>
      <c r="L11" s="87"/>
      <c r="M11" s="87"/>
    </row>
    <row r="12" spans="1:33" ht="19" x14ac:dyDescent="0.25">
      <c r="A12" s="40"/>
      <c r="B12" s="40"/>
      <c r="C12" s="40"/>
      <c r="D12" s="40"/>
      <c r="E12" s="41"/>
      <c r="F12" s="41"/>
      <c r="G12" s="41"/>
      <c r="H12" s="41"/>
      <c r="I12" s="40"/>
      <c r="J12" s="41"/>
      <c r="K12" s="41"/>
      <c r="L12" s="40"/>
      <c r="M12" s="148"/>
    </row>
    <row r="13" spans="1:33" ht="19" x14ac:dyDescent="0.25">
      <c r="A13" s="40"/>
      <c r="B13" s="40"/>
      <c r="C13" s="40"/>
      <c r="D13" s="40"/>
      <c r="E13" s="41"/>
      <c r="F13" s="41"/>
      <c r="G13" s="41"/>
      <c r="H13" s="41"/>
      <c r="I13" s="40"/>
      <c r="J13" s="41"/>
      <c r="K13" s="41"/>
      <c r="L13" s="40"/>
      <c r="M13" s="40"/>
    </row>
    <row r="14" spans="1:33" ht="19" x14ac:dyDescent="0.25">
      <c r="A14" s="40"/>
      <c r="B14" s="40"/>
      <c r="C14" s="40"/>
      <c r="D14" s="40"/>
      <c r="E14" s="41"/>
      <c r="F14" s="41"/>
      <c r="G14" s="41"/>
      <c r="H14" s="41"/>
      <c r="I14" s="40"/>
      <c r="J14" s="41"/>
      <c r="K14" s="41"/>
      <c r="L14" s="40"/>
      <c r="M14" s="40"/>
    </row>
    <row r="15" spans="1:33" ht="19" x14ac:dyDescent="0.25">
      <c r="A15" s="40"/>
      <c r="B15" s="40"/>
      <c r="C15" s="40"/>
      <c r="D15" s="40"/>
      <c r="E15" s="41"/>
      <c r="F15" s="41"/>
      <c r="G15" s="41"/>
      <c r="H15" s="41"/>
      <c r="I15" s="40"/>
      <c r="J15" s="41"/>
      <c r="K15" s="41"/>
      <c r="L15" s="40"/>
      <c r="M15" s="40"/>
    </row>
    <row r="16" spans="1:33" ht="19" x14ac:dyDescent="0.25">
      <c r="A16" s="64" t="s">
        <v>717</v>
      </c>
      <c r="B16" s="64"/>
      <c r="C16" s="87"/>
      <c r="D16" s="87"/>
      <c r="E16" s="90"/>
      <c r="F16" s="90"/>
      <c r="G16" s="90"/>
      <c r="H16" s="90"/>
      <c r="I16" s="87"/>
      <c r="J16" s="90"/>
      <c r="K16" s="90"/>
      <c r="L16" s="87"/>
      <c r="M16" s="87"/>
    </row>
    <row r="17" spans="1:13" ht="19" x14ac:dyDescent="0.25">
      <c r="A17" s="40"/>
      <c r="B17" s="40"/>
      <c r="C17" s="40"/>
      <c r="D17" s="40"/>
      <c r="E17" s="41"/>
      <c r="F17" s="41"/>
      <c r="G17" s="41"/>
      <c r="H17" s="41"/>
      <c r="I17" s="40"/>
      <c r="J17" s="41"/>
      <c r="K17" s="41"/>
      <c r="L17" s="40"/>
      <c r="M17" s="40"/>
    </row>
    <row r="18" spans="1:13" ht="19" x14ac:dyDescent="0.25">
      <c r="A18" s="40"/>
      <c r="B18" s="40"/>
      <c r="C18" s="40"/>
      <c r="D18" s="40"/>
      <c r="E18" s="41"/>
      <c r="F18" s="41"/>
      <c r="G18" s="41"/>
      <c r="H18" s="41"/>
      <c r="I18" s="40"/>
      <c r="J18" s="41"/>
      <c r="K18" s="41"/>
      <c r="L18" s="40"/>
      <c r="M18" s="40"/>
    </row>
    <row r="19" spans="1:13" ht="19" x14ac:dyDescent="0.25">
      <c r="A19" s="40"/>
      <c r="B19" s="40"/>
      <c r="C19" s="40"/>
      <c r="D19" s="40"/>
      <c r="E19" s="41"/>
      <c r="F19" s="41"/>
      <c r="G19" s="41"/>
      <c r="H19" s="41"/>
      <c r="I19" s="40"/>
      <c r="J19" s="41"/>
      <c r="K19" s="41"/>
      <c r="L19" s="40"/>
      <c r="M19" s="40"/>
    </row>
    <row r="20" spans="1:13" ht="19" x14ac:dyDescent="0.25">
      <c r="A20" s="40"/>
      <c r="B20" s="40"/>
      <c r="C20" s="40"/>
      <c r="D20" s="40"/>
      <c r="E20" s="41"/>
      <c r="F20" s="41"/>
      <c r="G20" s="41"/>
      <c r="H20" s="41"/>
      <c r="I20" s="40"/>
      <c r="J20" s="41"/>
      <c r="K20" s="41"/>
      <c r="L20" s="40"/>
      <c r="M20" s="40"/>
    </row>
    <row r="21" spans="1:13" ht="19" x14ac:dyDescent="0.25">
      <c r="A21" s="64" t="s">
        <v>842</v>
      </c>
      <c r="B21" s="64"/>
      <c r="C21" s="87"/>
      <c r="D21" s="87"/>
      <c r="E21" s="90"/>
      <c r="F21" s="90"/>
      <c r="G21" s="90"/>
      <c r="H21" s="90"/>
      <c r="I21" s="87"/>
      <c r="J21" s="90"/>
      <c r="K21" s="90"/>
      <c r="L21" s="87"/>
      <c r="M21" s="87"/>
    </row>
    <row r="22" spans="1:13" ht="19" x14ac:dyDescent="0.25">
      <c r="A22" s="40"/>
      <c r="B22" s="40"/>
      <c r="C22" s="40"/>
      <c r="D22" s="40"/>
      <c r="E22" s="41"/>
      <c r="F22" s="41"/>
      <c r="G22" s="41"/>
      <c r="H22" s="41"/>
      <c r="I22" s="40"/>
      <c r="J22" s="41"/>
      <c r="K22" s="41"/>
      <c r="L22" s="40"/>
      <c r="M22" s="40"/>
    </row>
    <row r="23" spans="1:13" ht="19" x14ac:dyDescent="0.25">
      <c r="A23" s="40"/>
      <c r="B23" s="40"/>
      <c r="C23" s="40"/>
      <c r="D23" s="40"/>
      <c r="E23" s="41"/>
      <c r="F23" s="41"/>
      <c r="G23" s="41"/>
      <c r="H23" s="41"/>
      <c r="I23" s="40"/>
      <c r="J23" s="41"/>
      <c r="K23" s="41"/>
      <c r="L23" s="40"/>
      <c r="M23" s="40"/>
    </row>
    <row r="24" spans="1:13" ht="19" x14ac:dyDescent="0.25">
      <c r="A24" s="40"/>
      <c r="B24" s="40"/>
      <c r="C24" s="40"/>
      <c r="D24" s="40"/>
      <c r="E24" s="40"/>
      <c r="F24" s="40"/>
      <c r="G24" s="40"/>
      <c r="H24" s="40"/>
      <c r="I24" s="40"/>
      <c r="J24" s="40"/>
      <c r="K24" s="40"/>
      <c r="L24" s="40"/>
      <c r="M24" s="40"/>
    </row>
    <row r="26" spans="1:13" ht="19" x14ac:dyDescent="0.25">
      <c r="A26" s="64" t="s">
        <v>843</v>
      </c>
      <c r="B26" s="64"/>
      <c r="C26" s="87"/>
      <c r="D26" s="87"/>
      <c r="E26" s="90"/>
      <c r="F26" s="90"/>
      <c r="G26" s="90"/>
      <c r="H26" s="90"/>
      <c r="I26" s="87"/>
      <c r="J26" s="90"/>
      <c r="K26" s="90"/>
      <c r="L26" s="87"/>
      <c r="M26" s="87"/>
    </row>
    <row r="27" spans="1:13" ht="19" x14ac:dyDescent="0.25">
      <c r="A27" s="40"/>
      <c r="B27" s="40"/>
      <c r="C27" s="40"/>
      <c r="D27" s="40"/>
      <c r="E27" s="41"/>
      <c r="F27" s="41"/>
      <c r="G27" s="41"/>
      <c r="H27" s="41"/>
      <c r="I27" s="40"/>
      <c r="J27" s="41"/>
      <c r="K27" s="41"/>
      <c r="L27" s="40"/>
      <c r="M27" s="40"/>
    </row>
    <row r="28" spans="1:13" ht="19" x14ac:dyDescent="0.25">
      <c r="A28" s="40"/>
      <c r="B28" s="40"/>
      <c r="C28" s="40"/>
      <c r="D28" s="40"/>
      <c r="E28" s="41"/>
      <c r="F28" s="41"/>
      <c r="G28" s="41"/>
      <c r="H28" s="41"/>
      <c r="I28" s="40"/>
      <c r="J28" s="41"/>
      <c r="K28" s="41"/>
      <c r="L28" s="40"/>
      <c r="M28" s="40"/>
    </row>
    <row r="29" spans="1:13" ht="19" x14ac:dyDescent="0.25">
      <c r="A29" s="40"/>
      <c r="B29" s="40"/>
      <c r="C29" s="40"/>
      <c r="D29" s="40"/>
      <c r="E29" s="41"/>
      <c r="F29" s="41"/>
      <c r="G29" s="41"/>
      <c r="H29" s="41"/>
      <c r="I29" s="40"/>
      <c r="J29" s="41"/>
      <c r="K29" s="41"/>
      <c r="L29" s="40"/>
      <c r="M29" s="40"/>
    </row>
    <row r="30" spans="1:13" ht="19" x14ac:dyDescent="0.25">
      <c r="A30" s="40"/>
      <c r="B30" s="40"/>
      <c r="C30" s="40"/>
      <c r="D30" s="40"/>
      <c r="E30" s="41"/>
      <c r="F30" s="41"/>
      <c r="G30" s="41"/>
      <c r="H30" s="41"/>
      <c r="I30" s="40"/>
      <c r="J30" s="41"/>
      <c r="K30" s="41"/>
      <c r="L30" s="40"/>
      <c r="M30" s="40"/>
    </row>
    <row r="31" spans="1:13" ht="19" x14ac:dyDescent="0.25">
      <c r="A31" s="64" t="s">
        <v>844</v>
      </c>
      <c r="B31" s="64"/>
      <c r="C31" s="149"/>
      <c r="D31" s="149"/>
      <c r="E31" s="150"/>
      <c r="F31" s="150"/>
      <c r="G31" s="150"/>
      <c r="H31" s="150"/>
      <c r="I31" s="149"/>
      <c r="J31" s="90"/>
      <c r="K31" s="90"/>
      <c r="L31" s="87"/>
      <c r="M31" s="87"/>
    </row>
    <row r="32" spans="1:13" ht="19" x14ac:dyDescent="0.25">
      <c r="A32" s="40"/>
      <c r="B32" s="40"/>
      <c r="C32" s="48"/>
      <c r="D32" s="48"/>
      <c r="E32" s="49"/>
      <c r="F32" s="49"/>
      <c r="G32" s="49"/>
      <c r="H32" s="49"/>
      <c r="I32" s="48"/>
      <c r="J32" s="41"/>
      <c r="K32" s="41"/>
      <c r="L32" s="40"/>
      <c r="M32" s="40"/>
    </row>
    <row r="33" spans="1:13" ht="19" x14ac:dyDescent="0.25">
      <c r="A33" s="40"/>
      <c r="B33" s="40"/>
      <c r="C33" s="48"/>
      <c r="D33" s="48"/>
      <c r="E33" s="49"/>
      <c r="F33" s="49"/>
      <c r="G33" s="49"/>
      <c r="H33" s="49"/>
      <c r="I33" s="48"/>
      <c r="J33" s="41"/>
      <c r="K33" s="41"/>
      <c r="L33" s="40"/>
      <c r="M33" s="40"/>
    </row>
    <row r="34" spans="1:13" ht="19" x14ac:dyDescent="0.25">
      <c r="A34" s="40"/>
      <c r="B34" s="40"/>
      <c r="C34" s="48"/>
      <c r="D34" s="48"/>
      <c r="E34" s="49"/>
      <c r="F34" s="49"/>
      <c r="G34" s="49"/>
      <c r="H34" s="49"/>
      <c r="I34" s="48"/>
      <c r="J34" s="41"/>
      <c r="K34" s="41"/>
      <c r="L34" s="40"/>
      <c r="M34" s="40"/>
    </row>
    <row r="35" spans="1:13" ht="19" x14ac:dyDescent="0.25">
      <c r="A35" s="40"/>
      <c r="B35" s="40"/>
      <c r="C35" s="48"/>
      <c r="D35" s="48"/>
      <c r="E35" s="49"/>
      <c r="F35" s="49"/>
      <c r="G35" s="49"/>
      <c r="H35" s="49"/>
      <c r="I35" s="48"/>
      <c r="J35" s="41"/>
      <c r="K35" s="41"/>
      <c r="L35" s="40"/>
      <c r="M35" s="40"/>
    </row>
    <row r="36" spans="1:13" ht="19" x14ac:dyDescent="0.25">
      <c r="A36" s="40"/>
      <c r="B36" s="40"/>
      <c r="C36" s="48"/>
      <c r="D36" s="48"/>
      <c r="E36" s="49"/>
      <c r="F36" s="49"/>
      <c r="G36" s="49"/>
      <c r="H36" s="49"/>
      <c r="I36" s="48"/>
      <c r="J36" s="41"/>
      <c r="K36" s="41"/>
      <c r="L36" s="40"/>
      <c r="M36" s="40"/>
    </row>
    <row r="37" spans="1:13" ht="19" x14ac:dyDescent="0.25">
      <c r="A37" s="40"/>
      <c r="B37" s="40"/>
      <c r="C37" s="48"/>
      <c r="D37" s="48"/>
      <c r="E37" s="49"/>
      <c r="F37" s="49"/>
      <c r="G37" s="49"/>
      <c r="H37" s="49"/>
      <c r="I37" s="48"/>
      <c r="K37" s="41"/>
      <c r="L37" s="40"/>
      <c r="M37" s="40"/>
    </row>
    <row r="39" spans="1:13" ht="19" x14ac:dyDescent="0.25">
      <c r="A39" s="52"/>
      <c r="B39" s="52"/>
      <c r="C39" s="52"/>
      <c r="D39" s="52"/>
      <c r="E39" s="53"/>
      <c r="F39" s="53"/>
      <c r="G39" s="53"/>
      <c r="H39" s="53"/>
      <c r="I39" s="52"/>
      <c r="J39" s="41"/>
      <c r="K39" s="41"/>
      <c r="L39" s="40"/>
      <c r="M39" s="40"/>
    </row>
    <row r="40" spans="1:13" ht="19" x14ac:dyDescent="0.25">
      <c r="A40" s="52"/>
      <c r="B40" s="52"/>
      <c r="C40" s="52"/>
      <c r="D40" s="52"/>
      <c r="E40" s="53"/>
      <c r="F40" s="53"/>
      <c r="G40" s="53"/>
      <c r="H40" s="53"/>
      <c r="I40" s="52"/>
      <c r="J40" s="41"/>
      <c r="K40" s="41"/>
      <c r="L40" s="40"/>
      <c r="M40" s="40"/>
    </row>
    <row r="41" spans="1:13" ht="19" x14ac:dyDescent="0.25">
      <c r="A41" s="52"/>
      <c r="B41" s="52"/>
      <c r="C41" s="52"/>
      <c r="D41" s="52"/>
      <c r="E41" s="53"/>
      <c r="F41" s="53"/>
      <c r="G41" s="53"/>
      <c r="H41" s="53"/>
      <c r="I41" s="52"/>
      <c r="J41" s="41"/>
      <c r="K41" s="41"/>
      <c r="L41" s="40"/>
      <c r="M41" s="40"/>
    </row>
    <row r="42" spans="1:13" ht="19" x14ac:dyDescent="0.25">
      <c r="A42" s="52"/>
      <c r="B42" s="52"/>
      <c r="C42" s="52"/>
      <c r="D42" s="52"/>
      <c r="E42" s="53"/>
      <c r="F42" s="53"/>
      <c r="G42" s="53"/>
      <c r="H42" s="53"/>
      <c r="I42" s="52"/>
      <c r="J42" s="41"/>
      <c r="K42" s="41"/>
      <c r="L42" s="40"/>
      <c r="M42" s="40"/>
    </row>
    <row r="43" spans="1:13" ht="19" x14ac:dyDescent="0.25">
      <c r="A43" s="52"/>
      <c r="B43" s="52"/>
      <c r="C43" s="52"/>
      <c r="D43" s="52"/>
      <c r="E43" s="53"/>
      <c r="F43" s="53"/>
      <c r="G43" s="53"/>
      <c r="H43" s="53"/>
      <c r="I43" s="52"/>
      <c r="J43" s="41"/>
      <c r="K43" s="41"/>
      <c r="L43" s="40"/>
      <c r="M43" s="40"/>
    </row>
    <row r="44" spans="1:13" ht="19" x14ac:dyDescent="0.25">
      <c r="A44" s="52"/>
      <c r="B44" s="52"/>
      <c r="C44" s="52"/>
      <c r="D44" s="52"/>
      <c r="E44" s="53"/>
      <c r="F44" s="53"/>
      <c r="G44" s="53"/>
      <c r="H44" s="53"/>
      <c r="I44" s="52"/>
      <c r="J44" s="41"/>
      <c r="K44" s="41"/>
      <c r="L44" s="40"/>
      <c r="M44" s="40"/>
    </row>
    <row r="45" spans="1:13" ht="19" x14ac:dyDescent="0.25">
      <c r="A45" s="52"/>
      <c r="B45" s="52"/>
      <c r="C45" s="52"/>
      <c r="D45" s="52"/>
      <c r="E45" s="53"/>
      <c r="F45" s="53"/>
      <c r="G45" s="53"/>
      <c r="H45" s="53"/>
      <c r="I45" s="52"/>
      <c r="J45" s="41"/>
      <c r="K45" s="41"/>
      <c r="L45" s="40"/>
      <c r="M45" s="40"/>
    </row>
    <row r="46" spans="1:13" ht="19" x14ac:dyDescent="0.25">
      <c r="A46" s="52"/>
      <c r="B46" s="52"/>
      <c r="C46" s="52"/>
      <c r="D46" s="52"/>
      <c r="E46" s="53"/>
      <c r="F46" s="41"/>
      <c r="G46" s="53"/>
      <c r="H46" s="53"/>
      <c r="I46" s="52"/>
      <c r="J46" s="41"/>
      <c r="K46" s="41"/>
      <c r="L46" s="40"/>
      <c r="M46" s="40"/>
    </row>
    <row r="47" spans="1:13" ht="19" x14ac:dyDescent="0.25">
      <c r="A47" s="52"/>
      <c r="B47" s="52"/>
      <c r="C47" s="52"/>
      <c r="D47" s="52"/>
      <c r="E47" s="53"/>
      <c r="F47" s="53"/>
      <c r="G47" s="53"/>
      <c r="H47" s="53"/>
      <c r="I47" s="52"/>
      <c r="J47" s="41"/>
      <c r="K47" s="41"/>
      <c r="L47" s="40"/>
      <c r="M47" s="40"/>
    </row>
    <row r="49" spans="1:13" ht="19" x14ac:dyDescent="0.25">
      <c r="A49" s="52"/>
      <c r="B49" s="52"/>
      <c r="C49" s="52"/>
      <c r="D49" s="52"/>
      <c r="E49" s="53"/>
      <c r="F49" s="53"/>
      <c r="G49" s="53"/>
      <c r="H49" s="53"/>
      <c r="I49" s="52"/>
      <c r="J49" s="41"/>
      <c r="K49" s="41"/>
      <c r="L49" s="40"/>
      <c r="M49" s="40"/>
    </row>
    <row r="50" spans="1:13" ht="19" x14ac:dyDescent="0.25">
      <c r="A50" s="52"/>
      <c r="B50" s="52"/>
      <c r="C50" s="52"/>
      <c r="D50" s="52"/>
      <c r="E50" s="53"/>
      <c r="F50" s="53"/>
      <c r="G50" s="53"/>
      <c r="H50" s="53"/>
      <c r="I50" s="52"/>
      <c r="J50" s="41"/>
      <c r="K50" s="41"/>
      <c r="L50" s="40"/>
      <c r="M50" s="40"/>
    </row>
    <row r="51" spans="1:13" ht="19" x14ac:dyDescent="0.25">
      <c r="A51" s="52"/>
      <c r="B51" s="52"/>
      <c r="C51" s="52"/>
      <c r="D51" s="52"/>
      <c r="E51" s="53"/>
      <c r="F51" s="53"/>
      <c r="G51" s="53"/>
      <c r="H51" s="53"/>
      <c r="I51" s="52"/>
      <c r="J51" s="41"/>
      <c r="K51" s="41"/>
      <c r="L51" s="40"/>
      <c r="M51" s="40"/>
    </row>
    <row r="52" spans="1:13" ht="19" x14ac:dyDescent="0.25">
      <c r="A52" s="52"/>
      <c r="B52" s="52"/>
      <c r="C52" s="52"/>
      <c r="D52" s="52"/>
      <c r="E52" s="53"/>
      <c r="F52" s="53"/>
      <c r="G52" s="53"/>
      <c r="H52" s="53"/>
      <c r="I52" s="52"/>
      <c r="J52" s="41"/>
      <c r="K52" s="41"/>
      <c r="L52" s="40"/>
      <c r="M52" s="40"/>
    </row>
    <row r="53" spans="1:13" ht="19" x14ac:dyDescent="0.25">
      <c r="A53" s="52"/>
      <c r="B53" s="52"/>
      <c r="C53" s="52"/>
      <c r="D53" s="52"/>
      <c r="E53" s="53"/>
      <c r="F53" s="53"/>
      <c r="G53" s="53"/>
      <c r="H53" s="53"/>
      <c r="I53" s="52"/>
      <c r="J53" s="41"/>
      <c r="K53" s="41"/>
      <c r="L53" s="40"/>
      <c r="M53" s="40"/>
    </row>
    <row r="54" spans="1:13" ht="19" x14ac:dyDescent="0.25">
      <c r="A54" s="52"/>
      <c r="B54" s="52"/>
      <c r="C54" s="52"/>
      <c r="D54" s="52"/>
      <c r="E54" s="53"/>
      <c r="F54" s="53"/>
      <c r="G54" s="53"/>
      <c r="H54" s="53"/>
      <c r="I54" s="52"/>
      <c r="J54" s="41"/>
      <c r="K54" s="41"/>
      <c r="L54" s="40"/>
      <c r="M54" s="40"/>
    </row>
    <row r="55" spans="1:13" ht="19" x14ac:dyDescent="0.25">
      <c r="A55" s="52"/>
      <c r="B55" s="52"/>
      <c r="C55" s="52"/>
      <c r="D55" s="52"/>
      <c r="E55" s="53"/>
      <c r="F55" s="53"/>
      <c r="G55" s="53"/>
      <c r="H55" s="53"/>
      <c r="I55" s="52"/>
      <c r="J55" s="41"/>
      <c r="K55" s="41"/>
      <c r="L55" s="40"/>
      <c r="M55" s="40"/>
    </row>
    <row r="56" spans="1:13" ht="19" x14ac:dyDescent="0.25">
      <c r="A56" s="52"/>
      <c r="B56" s="52"/>
      <c r="C56" s="52"/>
      <c r="D56" s="52"/>
      <c r="E56" s="53"/>
      <c r="F56" s="53"/>
      <c r="G56" s="53"/>
      <c r="H56" s="53"/>
      <c r="I56" s="52"/>
      <c r="J56" s="41"/>
      <c r="K56" s="41"/>
      <c r="L56" s="40"/>
      <c r="M56" s="40"/>
    </row>
    <row r="57" spans="1:13" ht="19" x14ac:dyDescent="0.25">
      <c r="A57" s="52"/>
      <c r="B57" s="52"/>
      <c r="C57" s="52"/>
      <c r="D57" s="52"/>
      <c r="E57" s="53"/>
      <c r="F57" s="53"/>
      <c r="G57" s="53"/>
      <c r="H57" s="53"/>
      <c r="I57" s="52"/>
      <c r="J57" s="41"/>
      <c r="K57" s="41"/>
      <c r="L57" s="40"/>
      <c r="M57" s="40"/>
    </row>
    <row r="58" spans="1:13" ht="19" x14ac:dyDescent="0.25">
      <c r="A58" s="52"/>
      <c r="B58" s="52"/>
      <c r="C58" s="52"/>
      <c r="D58" s="52"/>
      <c r="E58" s="53"/>
      <c r="F58" s="53"/>
      <c r="G58" s="53"/>
      <c r="H58" s="53"/>
      <c r="I58" s="52"/>
      <c r="J58" s="41"/>
      <c r="K58" s="41"/>
      <c r="L58" s="40"/>
      <c r="M58" s="40"/>
    </row>
    <row r="59" spans="1:13" ht="19" x14ac:dyDescent="0.25">
      <c r="A59" s="52"/>
      <c r="B59" s="52"/>
      <c r="C59" s="52"/>
      <c r="D59" s="52"/>
      <c r="E59" s="53"/>
      <c r="F59" s="53"/>
      <c r="G59" s="53"/>
      <c r="H59" s="53"/>
      <c r="I59" s="52"/>
      <c r="J59" s="41"/>
      <c r="K59" s="41"/>
      <c r="L59" s="40"/>
      <c r="M59" s="40"/>
    </row>
    <row r="61" spans="1:13" ht="19" x14ac:dyDescent="0.25">
      <c r="A61" s="50"/>
      <c r="B61" s="50"/>
      <c r="C61" s="50"/>
      <c r="D61" s="50"/>
      <c r="E61" s="51"/>
      <c r="F61" s="51"/>
      <c r="G61" s="51"/>
      <c r="H61" s="51"/>
      <c r="I61" s="50"/>
      <c r="J61" s="41"/>
      <c r="K61" s="41"/>
      <c r="L61" s="40"/>
      <c r="M61" s="40"/>
    </row>
    <row r="62" spans="1:13" ht="19" x14ac:dyDescent="0.25">
      <c r="A62" s="50"/>
      <c r="B62" s="50"/>
      <c r="C62" s="50"/>
      <c r="D62" s="50"/>
      <c r="E62" s="51"/>
      <c r="F62" s="51"/>
      <c r="G62" s="51"/>
      <c r="H62" s="51"/>
      <c r="I62" s="50"/>
      <c r="J62" s="41"/>
      <c r="K62" s="41"/>
      <c r="L62" s="40"/>
      <c r="M62" s="40"/>
    </row>
    <row r="63" spans="1:13" ht="19" x14ac:dyDescent="0.25">
      <c r="A63" s="50"/>
      <c r="B63" s="50"/>
      <c r="C63" s="50"/>
      <c r="D63" s="50"/>
      <c r="E63" s="51"/>
      <c r="F63" s="51"/>
      <c r="G63" s="51"/>
      <c r="H63" s="51"/>
      <c r="I63" s="50"/>
      <c r="J63" s="41"/>
      <c r="K63" s="41"/>
      <c r="L63" s="40"/>
      <c r="M63" s="40"/>
    </row>
    <row r="64" spans="1:13" ht="19" x14ac:dyDescent="0.25">
      <c r="A64" s="50"/>
      <c r="B64" s="50"/>
      <c r="C64" s="50"/>
      <c r="D64" s="50"/>
      <c r="E64" s="51"/>
      <c r="F64" s="51"/>
      <c r="G64" s="51"/>
      <c r="H64" s="51"/>
      <c r="I64" s="50"/>
      <c r="J64" s="41"/>
      <c r="K64" s="41"/>
      <c r="L64" s="40"/>
      <c r="M64" s="40"/>
    </row>
    <row r="65" spans="1:13" ht="19" x14ac:dyDescent="0.25">
      <c r="A65" s="50"/>
      <c r="B65" s="50"/>
      <c r="C65" s="50"/>
      <c r="D65" s="50"/>
      <c r="E65" s="51"/>
      <c r="F65" s="51"/>
      <c r="G65" s="51"/>
      <c r="H65" s="51"/>
      <c r="I65" s="50"/>
      <c r="J65" s="41"/>
      <c r="K65" s="41"/>
      <c r="L65" s="40"/>
      <c r="M65" s="40"/>
    </row>
    <row r="66" spans="1:13" ht="19" x14ac:dyDescent="0.25">
      <c r="A66" s="50"/>
      <c r="B66" s="50"/>
      <c r="C66" s="50"/>
      <c r="D66" s="50"/>
      <c r="E66" s="51"/>
      <c r="F66" s="51"/>
      <c r="G66" s="51"/>
      <c r="H66" s="51"/>
      <c r="I66" s="50"/>
      <c r="J66" s="41"/>
      <c r="K66" s="41"/>
      <c r="L66" s="40"/>
      <c r="M66" s="40"/>
    </row>
    <row r="67" spans="1:13" ht="19" x14ac:dyDescent="0.25">
      <c r="A67" s="50"/>
      <c r="B67" s="50"/>
      <c r="C67" s="50"/>
      <c r="D67" s="50"/>
      <c r="E67" s="51"/>
      <c r="F67" s="51"/>
      <c r="G67" s="51"/>
      <c r="H67" s="51"/>
      <c r="I67" s="50"/>
      <c r="J67" s="41"/>
      <c r="K67" s="41"/>
      <c r="L67" s="40"/>
      <c r="M67" s="40"/>
    </row>
    <row r="68" spans="1:13" x14ac:dyDescent="0.2">
      <c r="E68" s="1"/>
      <c r="F68" s="1"/>
      <c r="G68" s="1"/>
      <c r="H68" s="1"/>
    </row>
    <row r="69" spans="1:13" x14ac:dyDescent="0.2">
      <c r="E69" s="1"/>
      <c r="F69" s="1"/>
      <c r="G69" s="1"/>
      <c r="H69" s="1"/>
    </row>
    <row r="70" spans="1:13" x14ac:dyDescent="0.2">
      <c r="E70" s="1"/>
      <c r="F70" s="1"/>
      <c r="G70" s="1"/>
      <c r="H70" s="1"/>
    </row>
    <row r="71" spans="1:13" x14ac:dyDescent="0.2">
      <c r="E71" s="1"/>
      <c r="F71" s="1"/>
      <c r="G71" s="1"/>
      <c r="H71" s="1"/>
    </row>
    <row r="72" spans="1:13" x14ac:dyDescent="0.2">
      <c r="E72" s="1"/>
      <c r="F72" s="1"/>
      <c r="G72" s="1"/>
      <c r="H72" s="1"/>
    </row>
    <row r="73" spans="1:13" x14ac:dyDescent="0.2">
      <c r="E73" s="1"/>
      <c r="F73" s="1"/>
      <c r="G73" s="1"/>
      <c r="H73" s="1"/>
    </row>
    <row r="74" spans="1:13" x14ac:dyDescent="0.2">
      <c r="E74" s="1"/>
      <c r="F74" s="1"/>
      <c r="G74" s="1"/>
      <c r="H74" s="1"/>
    </row>
  </sheetData>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8C43594E-4709-4DBE-A3EE-1098495D3D10}">
          <x14:formula1>
            <xm:f>' Parametros, no tocar'!$B$8:$B$10</xm:f>
          </x14:formula1>
          <xm:sqref>K4:K9 K11:K23 K26:K37 K39:K47 K49:K59 K61:K66</xm:sqref>
        </x14:dataValidation>
        <x14:dataValidation type="list" allowBlank="1" showInputMessage="1" showErrorMessage="1" xr:uid="{C4496719-0B00-492E-9B8F-6EDC09121C79}">
          <x14:formula1>
            <xm:f>' Parametros, no tocar'!$B$4:$B$5</xm:f>
          </x14:formula1>
          <xm:sqref>J4:J9 J11:J23 J26:J36 J39:J47 J49:J59 J61:J66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78A97-98BF-4110-A58C-7A55BA300474}">
  <sheetPr>
    <tabColor theme="9" tint="0.59999389629810485"/>
  </sheetPr>
  <dimension ref="A1:P11"/>
  <sheetViews>
    <sheetView workbookViewId="0">
      <selection activeCell="E16" sqref="E16"/>
    </sheetView>
  </sheetViews>
  <sheetFormatPr baseColWidth="10" defaultColWidth="11" defaultRowHeight="16" x14ac:dyDescent="0.2"/>
  <cols>
    <col min="1" max="1" width="89.33203125" style="154" customWidth="1"/>
    <col min="2" max="2" width="11" style="157"/>
    <col min="3" max="3" width="17.83203125" style="154" customWidth="1"/>
    <col min="4" max="4" width="14" style="154" customWidth="1"/>
    <col min="5" max="5" width="15.6640625" style="154" customWidth="1"/>
    <col min="6" max="6" width="14.1640625" style="154" customWidth="1"/>
    <col min="7" max="7" width="21.5" style="154" customWidth="1"/>
    <col min="8" max="8" width="9.1640625" style="154" customWidth="1"/>
    <col min="9" max="9" width="22.33203125" style="154" customWidth="1"/>
    <col min="10" max="10" width="11" style="154"/>
    <col min="11" max="11" width="25.6640625" style="154" customWidth="1"/>
    <col min="12" max="12" width="47.1640625" style="154" customWidth="1"/>
    <col min="13" max="13" width="23.1640625" style="154" customWidth="1"/>
  </cols>
  <sheetData>
    <row r="1" spans="1:16" ht="120" customHeight="1" x14ac:dyDescent="0.25">
      <c r="A1" s="152" t="s">
        <v>203</v>
      </c>
      <c r="B1" s="155" t="s">
        <v>593</v>
      </c>
      <c r="C1" s="152" t="s">
        <v>52</v>
      </c>
      <c r="D1" s="152" t="s">
        <v>123</v>
      </c>
      <c r="E1" s="152" t="s">
        <v>124</v>
      </c>
      <c r="F1" s="152" t="s">
        <v>20</v>
      </c>
      <c r="G1" s="152" t="s">
        <v>125</v>
      </c>
      <c r="H1" s="152" t="s">
        <v>128</v>
      </c>
      <c r="I1" s="152" t="s">
        <v>129</v>
      </c>
      <c r="J1" s="152" t="s">
        <v>130</v>
      </c>
      <c r="K1" s="152" t="s">
        <v>126</v>
      </c>
      <c r="L1" s="152" t="s">
        <v>127</v>
      </c>
      <c r="M1" s="152" t="s">
        <v>131</v>
      </c>
      <c r="N1" s="44" t="s">
        <v>845</v>
      </c>
      <c r="O1" s="44"/>
      <c r="P1" s="44"/>
    </row>
    <row r="2" spans="1:16" ht="19" x14ac:dyDescent="0.25">
      <c r="A2" s="82"/>
      <c r="B2" s="77"/>
      <c r="C2" s="82"/>
      <c r="D2" s="82"/>
      <c r="E2" s="82"/>
      <c r="F2" s="82"/>
      <c r="G2" s="82"/>
      <c r="H2" s="82"/>
      <c r="I2" s="82"/>
      <c r="J2" s="82"/>
      <c r="K2" s="82"/>
      <c r="L2" s="82"/>
      <c r="M2" s="82"/>
      <c r="N2" s="40"/>
      <c r="O2" s="40"/>
      <c r="P2" s="40"/>
    </row>
    <row r="3" spans="1:16" x14ac:dyDescent="0.2">
      <c r="A3" s="153"/>
      <c r="B3" s="156">
        <v>1</v>
      </c>
      <c r="C3" s="153"/>
      <c r="D3" s="153"/>
      <c r="E3" s="153"/>
      <c r="F3" s="153"/>
      <c r="G3" s="153"/>
      <c r="H3" s="153"/>
      <c r="I3" s="153"/>
      <c r="J3" s="153"/>
      <c r="K3" s="153"/>
      <c r="L3" s="153"/>
      <c r="M3" s="153"/>
    </row>
    <row r="4" spans="1:16" x14ac:dyDescent="0.2">
      <c r="A4" s="153"/>
      <c r="B4" s="156">
        <v>2</v>
      </c>
      <c r="C4" s="153"/>
      <c r="D4" s="153"/>
      <c r="E4" s="153"/>
      <c r="F4" s="153"/>
      <c r="G4" s="153"/>
      <c r="H4" s="153"/>
      <c r="I4" s="153"/>
      <c r="J4" s="153"/>
      <c r="K4" s="153"/>
      <c r="L4" s="153"/>
      <c r="M4" s="153"/>
    </row>
    <row r="5" spans="1:16" x14ac:dyDescent="0.2">
      <c r="A5" s="153"/>
      <c r="B5" s="156">
        <v>3</v>
      </c>
      <c r="C5" s="153"/>
      <c r="D5" s="153"/>
      <c r="E5" s="153"/>
      <c r="F5" s="153"/>
      <c r="G5" s="153"/>
      <c r="H5" s="153"/>
      <c r="I5" s="153"/>
      <c r="J5" s="153"/>
      <c r="K5" s="153"/>
      <c r="L5" s="153"/>
      <c r="M5" s="153"/>
    </row>
    <row r="6" spans="1:16" x14ac:dyDescent="0.2">
      <c r="A6" s="153"/>
      <c r="B6" s="156">
        <v>4</v>
      </c>
      <c r="C6" s="153"/>
      <c r="D6" s="153"/>
      <c r="E6" s="153"/>
      <c r="F6" s="153"/>
      <c r="G6" s="153"/>
      <c r="H6" s="153"/>
      <c r="I6" s="153"/>
      <c r="J6" s="153"/>
      <c r="K6" s="153"/>
      <c r="L6" s="153"/>
      <c r="M6" s="153"/>
    </row>
    <row r="7" spans="1:16" x14ac:dyDescent="0.2">
      <c r="A7" s="153"/>
      <c r="B7" s="156">
        <v>5</v>
      </c>
      <c r="C7" s="153"/>
      <c r="D7" s="153"/>
      <c r="E7" s="153"/>
      <c r="F7" s="153"/>
      <c r="G7" s="153"/>
      <c r="H7" s="153"/>
      <c r="I7" s="153"/>
      <c r="J7" s="153"/>
      <c r="K7" s="153"/>
      <c r="L7" s="153"/>
      <c r="M7" s="153"/>
    </row>
    <row r="8" spans="1:16" x14ac:dyDescent="0.2">
      <c r="A8" s="153"/>
      <c r="B8" s="156">
        <v>6</v>
      </c>
      <c r="C8" s="153"/>
      <c r="D8" s="153"/>
      <c r="E8" s="153"/>
      <c r="F8" s="153"/>
      <c r="G8" s="153"/>
      <c r="H8" s="153"/>
      <c r="I8" s="153"/>
      <c r="J8" s="153"/>
      <c r="K8" s="153"/>
      <c r="L8" s="153"/>
      <c r="M8" s="153"/>
    </row>
    <row r="9" spans="1:16" x14ac:dyDescent="0.2">
      <c r="A9" s="153"/>
      <c r="B9" s="156">
        <v>7</v>
      </c>
      <c r="C9" s="153"/>
      <c r="D9" s="153"/>
      <c r="E9" s="153"/>
      <c r="F9" s="153"/>
      <c r="G9" s="153"/>
      <c r="H9" s="153"/>
      <c r="I9" s="153"/>
      <c r="J9" s="153"/>
      <c r="K9" s="153"/>
      <c r="L9" s="153"/>
      <c r="M9" s="153"/>
    </row>
    <row r="10" spans="1:16" x14ac:dyDescent="0.2">
      <c r="A10" s="153"/>
      <c r="B10" s="156">
        <v>8</v>
      </c>
      <c r="C10" s="153"/>
      <c r="D10" s="153"/>
      <c r="E10" s="153"/>
      <c r="F10" s="153"/>
      <c r="G10" s="153"/>
      <c r="H10" s="153"/>
      <c r="I10" s="153"/>
      <c r="J10" s="153"/>
      <c r="K10" s="153"/>
      <c r="L10" s="153"/>
      <c r="M10" s="153"/>
    </row>
    <row r="11" spans="1:16" x14ac:dyDescent="0.2">
      <c r="A11" s="153"/>
      <c r="B11" s="156">
        <v>9</v>
      </c>
      <c r="C11" s="153"/>
      <c r="D11" s="153"/>
      <c r="E11" s="153"/>
      <c r="F11" s="153"/>
      <c r="G11" s="153"/>
      <c r="H11" s="153"/>
      <c r="I11" s="153"/>
      <c r="J11" s="153"/>
      <c r="K11" s="153"/>
      <c r="L11" s="153"/>
      <c r="M11" s="15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BFC7AF-E6FC-0940-A9BD-0C135D3347C1}">
  <sheetPr>
    <tabColor rgb="FFFFFF00"/>
  </sheetPr>
  <dimension ref="A1:H101"/>
  <sheetViews>
    <sheetView zoomScale="110" zoomScaleNormal="110" workbookViewId="0">
      <selection activeCell="D41" sqref="D41"/>
    </sheetView>
  </sheetViews>
  <sheetFormatPr baseColWidth="10" defaultColWidth="11.5" defaultRowHeight="15" x14ac:dyDescent="0.2"/>
  <cols>
    <col min="1" max="1" width="20.1640625" style="3" customWidth="1"/>
    <col min="2" max="2" width="23.6640625" style="3" customWidth="1"/>
    <col min="3" max="3" width="24.1640625" style="3" customWidth="1"/>
    <col min="4" max="4" width="29.6640625" style="4" customWidth="1"/>
    <col min="5" max="5" width="28.33203125" style="4" customWidth="1"/>
    <col min="6" max="6" width="59.6640625" style="3" customWidth="1"/>
    <col min="7" max="7" width="11.5" style="3" customWidth="1"/>
    <col min="8" max="8" width="54.5" style="3" customWidth="1"/>
    <col min="9" max="16384" width="11.5" style="3"/>
  </cols>
  <sheetData>
    <row r="1" spans="1:8" ht="21" x14ac:dyDescent="0.25">
      <c r="A1" s="199" t="s">
        <v>520</v>
      </c>
      <c r="B1" s="199"/>
      <c r="C1" s="199"/>
      <c r="D1" s="199"/>
      <c r="E1" s="38" t="s">
        <v>521</v>
      </c>
      <c r="F1" s="37"/>
      <c r="G1" s="37"/>
      <c r="H1" s="37"/>
    </row>
    <row r="2" spans="1:8" x14ac:dyDescent="0.2">
      <c r="A2" s="3" t="s">
        <v>522</v>
      </c>
    </row>
    <row r="3" spans="1:8" ht="48" x14ac:dyDescent="0.2">
      <c r="A3" s="36" t="s">
        <v>523</v>
      </c>
      <c r="B3" s="36" t="s">
        <v>524</v>
      </c>
      <c r="C3" s="36" t="s">
        <v>525</v>
      </c>
      <c r="D3" s="35" t="s">
        <v>526</v>
      </c>
      <c r="E3" s="34" t="s">
        <v>527</v>
      </c>
      <c r="F3" s="198" t="s">
        <v>528</v>
      </c>
      <c r="G3" s="198"/>
      <c r="H3" s="198"/>
    </row>
    <row r="4" spans="1:8" ht="16" x14ac:dyDescent="0.2">
      <c r="E4" s="33">
        <v>10000</v>
      </c>
    </row>
    <row r="5" spans="1:8" ht="16" x14ac:dyDescent="0.2">
      <c r="A5" s="32" t="s">
        <v>529</v>
      </c>
      <c r="B5" s="32"/>
      <c r="C5" s="31">
        <v>0.26767676767676768</v>
      </c>
      <c r="D5" s="30">
        <f t="shared" ref="D5:D35" si="0">C5*$B$38</f>
        <v>1466.8686868686868</v>
      </c>
      <c r="E5" s="30">
        <f>$E$4*(C5)</f>
        <v>2676.7676767676767</v>
      </c>
      <c r="F5" s="19" t="s">
        <v>530</v>
      </c>
      <c r="G5" s="20">
        <f>+E5</f>
        <v>2676.7676767676767</v>
      </c>
      <c r="H5" s="12" t="s">
        <v>531</v>
      </c>
    </row>
    <row r="6" spans="1:8" ht="16" x14ac:dyDescent="0.2">
      <c r="B6" s="3" t="s">
        <v>532</v>
      </c>
      <c r="C6" s="29">
        <v>0.20505050505050504</v>
      </c>
      <c r="D6" s="14">
        <f t="shared" si="0"/>
        <v>1123.6767676767677</v>
      </c>
      <c r="E6" s="30">
        <f t="shared" ref="E6:E35" si="1">$E$4*(C6)</f>
        <v>2050.5050505050503</v>
      </c>
      <c r="F6" s="19" t="s">
        <v>530</v>
      </c>
      <c r="G6" s="20">
        <f>+E6</f>
        <v>2050.5050505050503</v>
      </c>
      <c r="H6" s="12" t="s">
        <v>533</v>
      </c>
    </row>
    <row r="7" spans="1:8" ht="16" x14ac:dyDescent="0.2">
      <c r="B7" s="3" t="s">
        <v>534</v>
      </c>
      <c r="C7" s="29">
        <v>4.3434343434343436E-2</v>
      </c>
      <c r="D7" s="14">
        <f t="shared" si="0"/>
        <v>238.02020202020202</v>
      </c>
      <c r="E7" s="30">
        <f t="shared" si="1"/>
        <v>434.34343434343435</v>
      </c>
      <c r="F7" s="19" t="s">
        <v>530</v>
      </c>
      <c r="G7" s="20">
        <f>+E7</f>
        <v>434.34343434343435</v>
      </c>
      <c r="H7" s="12" t="s">
        <v>535</v>
      </c>
    </row>
    <row r="8" spans="1:8" ht="16" x14ac:dyDescent="0.2">
      <c r="B8" s="3" t="s">
        <v>536</v>
      </c>
      <c r="C8" s="29">
        <v>1.9191919191919191E-2</v>
      </c>
      <c r="D8" s="14">
        <f t="shared" si="0"/>
        <v>105.17171717171716</v>
      </c>
      <c r="E8" s="30">
        <f t="shared" si="1"/>
        <v>191.91919191919192</v>
      </c>
      <c r="F8" s="12"/>
      <c r="G8" s="12"/>
      <c r="H8" s="12"/>
    </row>
    <row r="9" spans="1:8" ht="16" x14ac:dyDescent="0.2">
      <c r="A9" s="28" t="s">
        <v>537</v>
      </c>
      <c r="B9" s="28"/>
      <c r="C9" s="27">
        <v>0.23737373737373738</v>
      </c>
      <c r="D9" s="26">
        <f t="shared" si="0"/>
        <v>1300.8080808080808</v>
      </c>
      <c r="E9" s="26">
        <f t="shared" si="1"/>
        <v>2373.7373737373737</v>
      </c>
      <c r="F9" s="19" t="s">
        <v>538</v>
      </c>
      <c r="G9" s="20">
        <f>+E9</f>
        <v>2373.7373737373737</v>
      </c>
      <c r="H9" s="12" t="s">
        <v>539</v>
      </c>
    </row>
    <row r="10" spans="1:8" ht="16" x14ac:dyDescent="0.2">
      <c r="B10" s="3" t="s">
        <v>540</v>
      </c>
      <c r="C10" s="15">
        <v>9.2929292929292931E-2</v>
      </c>
      <c r="D10" s="14">
        <f t="shared" si="0"/>
        <v>509.25252525252529</v>
      </c>
      <c r="E10" s="26">
        <f t="shared" si="1"/>
        <v>929.29292929292933</v>
      </c>
      <c r="F10" s="19" t="s">
        <v>541</v>
      </c>
      <c r="G10" s="20">
        <f>+E10</f>
        <v>929.29292929292933</v>
      </c>
      <c r="H10" s="12" t="s">
        <v>542</v>
      </c>
    </row>
    <row r="11" spans="1:8" ht="16" x14ac:dyDescent="0.2">
      <c r="B11" s="3" t="s">
        <v>543</v>
      </c>
      <c r="C11" s="15">
        <v>4.5454545454545456E-2</v>
      </c>
      <c r="D11" s="14">
        <f t="shared" si="0"/>
        <v>249.09090909090909</v>
      </c>
      <c r="E11" s="26">
        <f t="shared" si="1"/>
        <v>454.54545454545456</v>
      </c>
      <c r="F11" s="19" t="s">
        <v>544</v>
      </c>
      <c r="G11" s="20">
        <f>+E11</f>
        <v>454.54545454545456</v>
      </c>
      <c r="H11" s="12" t="s">
        <v>542</v>
      </c>
    </row>
    <row r="12" spans="1:8" ht="16" x14ac:dyDescent="0.2">
      <c r="B12" s="3" t="s">
        <v>545</v>
      </c>
      <c r="C12" s="15">
        <v>3.9393939393939391E-2</v>
      </c>
      <c r="D12" s="14">
        <f t="shared" si="0"/>
        <v>215.87878787878788</v>
      </c>
      <c r="E12" s="26">
        <f t="shared" si="1"/>
        <v>393.93939393939388</v>
      </c>
      <c r="F12" s="12"/>
      <c r="G12" s="12"/>
      <c r="H12" s="12"/>
    </row>
    <row r="13" spans="1:8" ht="16" x14ac:dyDescent="0.2">
      <c r="B13" s="3" t="s">
        <v>546</v>
      </c>
      <c r="C13" s="15">
        <v>2.4242424242424242E-2</v>
      </c>
      <c r="D13" s="14">
        <f t="shared" si="0"/>
        <v>132.84848484848484</v>
      </c>
      <c r="E13" s="26">
        <f t="shared" si="1"/>
        <v>242.42424242424244</v>
      </c>
      <c r="F13" s="12"/>
      <c r="G13" s="12"/>
      <c r="H13" s="12"/>
    </row>
    <row r="14" spans="1:8" ht="16" x14ac:dyDescent="0.2">
      <c r="B14" s="3" t="s">
        <v>547</v>
      </c>
      <c r="C14" s="15">
        <v>1.2121212121212121E-2</v>
      </c>
      <c r="D14" s="14">
        <f t="shared" si="0"/>
        <v>66.424242424242422</v>
      </c>
      <c r="E14" s="26">
        <f t="shared" si="1"/>
        <v>121.21212121212122</v>
      </c>
      <c r="F14" s="19" t="s">
        <v>548</v>
      </c>
      <c r="G14" s="20">
        <f>+E14</f>
        <v>121.21212121212122</v>
      </c>
      <c r="H14" s="12" t="s">
        <v>542</v>
      </c>
    </row>
    <row r="15" spans="1:8" ht="16" x14ac:dyDescent="0.2">
      <c r="B15" s="3" t="s">
        <v>549</v>
      </c>
      <c r="C15" s="15">
        <v>2.3232323232323233E-2</v>
      </c>
      <c r="D15" s="14">
        <f t="shared" si="0"/>
        <v>127.31313131313132</v>
      </c>
      <c r="E15" s="26">
        <f t="shared" si="1"/>
        <v>232.32323232323233</v>
      </c>
      <c r="F15" s="12"/>
      <c r="G15" s="12"/>
      <c r="H15" s="12"/>
    </row>
    <row r="16" spans="1:8" ht="16" x14ac:dyDescent="0.2">
      <c r="A16" s="25" t="s">
        <v>550</v>
      </c>
      <c r="B16" s="25"/>
      <c r="C16" s="24">
        <v>0.19191919191919191</v>
      </c>
      <c r="D16" s="23">
        <f t="shared" si="0"/>
        <v>1051.7171717171716</v>
      </c>
      <c r="E16" s="23">
        <f t="shared" si="1"/>
        <v>1919.1919191919192</v>
      </c>
      <c r="F16" s="19" t="s">
        <v>551</v>
      </c>
      <c r="G16" s="20">
        <f>+E16</f>
        <v>1919.1919191919192</v>
      </c>
      <c r="H16" s="12" t="s">
        <v>542</v>
      </c>
    </row>
    <row r="17" spans="1:8" ht="16" x14ac:dyDescent="0.2">
      <c r="B17" s="3" t="s">
        <v>552</v>
      </c>
      <c r="C17" s="15">
        <v>0.1191919191919192</v>
      </c>
      <c r="D17" s="14">
        <f t="shared" si="0"/>
        <v>653.17171717171721</v>
      </c>
      <c r="E17" s="23">
        <f t="shared" si="1"/>
        <v>1191.9191919191919</v>
      </c>
      <c r="F17" s="12"/>
      <c r="G17" s="12"/>
      <c r="H17" s="12"/>
    </row>
    <row r="18" spans="1:8" ht="16" x14ac:dyDescent="0.2">
      <c r="B18" s="3" t="s">
        <v>553</v>
      </c>
      <c r="C18" s="15">
        <v>4.4444444444444446E-2</v>
      </c>
      <c r="D18" s="14">
        <f t="shared" si="0"/>
        <v>243.55555555555557</v>
      </c>
      <c r="E18" s="23">
        <f t="shared" si="1"/>
        <v>444.44444444444446</v>
      </c>
      <c r="F18" s="12"/>
      <c r="G18" s="12"/>
      <c r="H18" s="12"/>
    </row>
    <row r="19" spans="1:8" ht="16" x14ac:dyDescent="0.2">
      <c r="B19" s="3" t="s">
        <v>554</v>
      </c>
      <c r="C19" s="15">
        <v>1.6161616161616162E-2</v>
      </c>
      <c r="D19" s="14">
        <f t="shared" si="0"/>
        <v>88.565656565656568</v>
      </c>
      <c r="E19" s="23">
        <f t="shared" si="1"/>
        <v>161.61616161616161</v>
      </c>
      <c r="F19" s="12"/>
      <c r="G19" s="12"/>
      <c r="H19" s="12"/>
    </row>
    <row r="20" spans="1:8" ht="16" x14ac:dyDescent="0.2">
      <c r="B20" s="3" t="s">
        <v>555</v>
      </c>
      <c r="C20" s="15">
        <v>1.2121212121212121E-2</v>
      </c>
      <c r="D20" s="14">
        <f t="shared" si="0"/>
        <v>66.424242424242422</v>
      </c>
      <c r="E20" s="23">
        <f t="shared" si="1"/>
        <v>121.21212121212122</v>
      </c>
      <c r="F20" s="12"/>
      <c r="G20" s="12"/>
      <c r="H20" s="12"/>
    </row>
    <row r="21" spans="1:8" ht="16" x14ac:dyDescent="0.2">
      <c r="A21" s="22" t="s">
        <v>556</v>
      </c>
      <c r="B21" s="22"/>
      <c r="C21" s="21">
        <v>0.16161616161616163</v>
      </c>
      <c r="D21" s="18">
        <f t="shared" si="0"/>
        <v>885.6565656565657</v>
      </c>
      <c r="E21" s="18">
        <f t="shared" si="1"/>
        <v>1616.1616161616164</v>
      </c>
      <c r="F21" s="12"/>
      <c r="G21" s="12"/>
      <c r="H21" s="12"/>
    </row>
    <row r="22" spans="1:8" ht="16" x14ac:dyDescent="0.2">
      <c r="B22" s="3" t="s">
        <v>557</v>
      </c>
      <c r="C22" s="15">
        <v>5.3535353535353533E-2</v>
      </c>
      <c r="D22" s="14">
        <f t="shared" si="0"/>
        <v>293.37373737373736</v>
      </c>
      <c r="E22" s="18">
        <f t="shared" si="1"/>
        <v>535.35353535353534</v>
      </c>
      <c r="F22" s="12"/>
      <c r="G22" s="12"/>
      <c r="H22" s="12"/>
    </row>
    <row r="23" spans="1:8" ht="16" x14ac:dyDescent="0.2">
      <c r="B23" s="3" t="s">
        <v>558</v>
      </c>
      <c r="C23" s="15">
        <v>3.2323232323232323E-2</v>
      </c>
      <c r="D23" s="14">
        <f t="shared" si="0"/>
        <v>177.13131313131314</v>
      </c>
      <c r="E23" s="18">
        <f t="shared" si="1"/>
        <v>323.23232323232321</v>
      </c>
      <c r="F23" s="12"/>
      <c r="G23" s="12"/>
      <c r="H23" s="12"/>
    </row>
    <row r="24" spans="1:8" ht="16" x14ac:dyDescent="0.2">
      <c r="B24" s="3" t="s">
        <v>559</v>
      </c>
      <c r="C24" s="15">
        <v>1.8181818181818181E-2</v>
      </c>
      <c r="D24" s="14">
        <f t="shared" si="0"/>
        <v>99.636363636363626</v>
      </c>
      <c r="E24" s="18">
        <f t="shared" si="1"/>
        <v>181.81818181818181</v>
      </c>
      <c r="F24" s="19" t="s">
        <v>560</v>
      </c>
      <c r="G24" s="20">
        <f>+E24</f>
        <v>181.81818181818181</v>
      </c>
      <c r="H24" s="12" t="s">
        <v>542</v>
      </c>
    </row>
    <row r="25" spans="1:8" ht="16" x14ac:dyDescent="0.2">
      <c r="B25" s="3" t="s">
        <v>561</v>
      </c>
      <c r="C25" s="15">
        <v>1.7171717171717171E-2</v>
      </c>
      <c r="D25" s="14">
        <f t="shared" si="0"/>
        <v>94.101010101010104</v>
      </c>
      <c r="E25" s="18">
        <f t="shared" si="1"/>
        <v>171.71717171717171</v>
      </c>
      <c r="F25" s="19" t="s">
        <v>562</v>
      </c>
      <c r="G25" s="20">
        <f>+E25</f>
        <v>171.71717171717171</v>
      </c>
      <c r="H25" s="12" t="s">
        <v>542</v>
      </c>
    </row>
    <row r="26" spans="1:8" ht="16" x14ac:dyDescent="0.2">
      <c r="B26" s="3" t="s">
        <v>563</v>
      </c>
      <c r="C26" s="15">
        <v>8.0808080808080808E-3</v>
      </c>
      <c r="D26" s="14">
        <f t="shared" si="0"/>
        <v>44.282828282828284</v>
      </c>
      <c r="E26" s="18">
        <f t="shared" si="1"/>
        <v>80.808080808080803</v>
      </c>
      <c r="F26" s="19"/>
      <c r="G26" s="12"/>
      <c r="H26" s="12"/>
    </row>
    <row r="27" spans="1:8" ht="16" x14ac:dyDescent="0.2">
      <c r="B27" s="3" t="s">
        <v>564</v>
      </c>
      <c r="C27" s="15">
        <v>8.0808080808080808E-3</v>
      </c>
      <c r="D27" s="14">
        <f t="shared" si="0"/>
        <v>44.282828282828284</v>
      </c>
      <c r="E27" s="18">
        <f t="shared" si="1"/>
        <v>80.808080808080803</v>
      </c>
      <c r="F27" s="12"/>
      <c r="G27" s="12"/>
      <c r="H27" s="12"/>
    </row>
    <row r="28" spans="1:8" ht="16" x14ac:dyDescent="0.2">
      <c r="B28" s="3" t="s">
        <v>549</v>
      </c>
      <c r="C28" s="15">
        <v>2.4242424242424242E-2</v>
      </c>
      <c r="D28" s="14">
        <f t="shared" si="0"/>
        <v>132.84848484848484</v>
      </c>
      <c r="E28" s="18">
        <f t="shared" si="1"/>
        <v>242.42424242424244</v>
      </c>
      <c r="F28" s="12"/>
      <c r="G28" s="12"/>
      <c r="H28" s="12"/>
    </row>
    <row r="29" spans="1:8" ht="16" x14ac:dyDescent="0.2">
      <c r="A29" s="17" t="s">
        <v>565</v>
      </c>
      <c r="B29" s="17"/>
      <c r="C29" s="16">
        <v>0.14141414141414141</v>
      </c>
      <c r="D29" s="13">
        <f t="shared" si="0"/>
        <v>774.94949494949492</v>
      </c>
      <c r="E29" s="13">
        <f t="shared" si="1"/>
        <v>1414.1414141414141</v>
      </c>
      <c r="F29" s="12"/>
      <c r="G29" s="12"/>
      <c r="H29" s="12"/>
    </row>
    <row r="30" spans="1:8" ht="16" x14ac:dyDescent="0.2">
      <c r="B30" s="3" t="s">
        <v>566</v>
      </c>
      <c r="C30" s="15">
        <v>3.1313131313131314E-2</v>
      </c>
      <c r="D30" s="14">
        <f t="shared" si="0"/>
        <v>171.59595959595958</v>
      </c>
      <c r="E30" s="13">
        <f t="shared" si="1"/>
        <v>313.13131313131316</v>
      </c>
      <c r="F30" s="12"/>
      <c r="G30" s="12"/>
      <c r="H30" s="12"/>
    </row>
    <row r="31" spans="1:8" ht="16" x14ac:dyDescent="0.2">
      <c r="B31" s="3" t="s">
        <v>567</v>
      </c>
      <c r="C31" s="15">
        <v>3.0303030303030304E-2</v>
      </c>
      <c r="D31" s="14">
        <f t="shared" si="0"/>
        <v>166.06060606060606</v>
      </c>
      <c r="E31" s="13">
        <f t="shared" si="1"/>
        <v>303.03030303030306</v>
      </c>
      <c r="F31" s="12"/>
      <c r="G31" s="12"/>
      <c r="H31" s="12"/>
    </row>
    <row r="32" spans="1:8" ht="16" x14ac:dyDescent="0.2">
      <c r="B32" s="3" t="s">
        <v>568</v>
      </c>
      <c r="C32" s="15">
        <v>2.3232323232323233E-2</v>
      </c>
      <c r="D32" s="14">
        <f t="shared" si="0"/>
        <v>127.31313131313132</v>
      </c>
      <c r="E32" s="13">
        <f t="shared" si="1"/>
        <v>232.32323232323233</v>
      </c>
      <c r="F32" s="12"/>
      <c r="G32" s="12"/>
      <c r="H32" s="12"/>
    </row>
    <row r="33" spans="1:8" ht="16" x14ac:dyDescent="0.2">
      <c r="B33" s="3" t="s">
        <v>569</v>
      </c>
      <c r="C33" s="15">
        <v>2.0202020202020204E-2</v>
      </c>
      <c r="D33" s="14">
        <f t="shared" si="0"/>
        <v>110.70707070707071</v>
      </c>
      <c r="E33" s="13">
        <f t="shared" si="1"/>
        <v>202.02020202020205</v>
      </c>
      <c r="F33" s="12"/>
      <c r="G33" s="12"/>
      <c r="H33" s="12"/>
    </row>
    <row r="34" spans="1:8" ht="16" x14ac:dyDescent="0.2">
      <c r="B34" s="3" t="s">
        <v>570</v>
      </c>
      <c r="C34" s="15">
        <v>9.0909090909090905E-3</v>
      </c>
      <c r="D34" s="14">
        <f t="shared" si="0"/>
        <v>49.818181818181813</v>
      </c>
      <c r="E34" s="13">
        <f t="shared" si="1"/>
        <v>90.909090909090907</v>
      </c>
      <c r="F34" s="12"/>
      <c r="G34" s="12"/>
      <c r="H34" s="12"/>
    </row>
    <row r="35" spans="1:8" ht="16" x14ac:dyDescent="0.2">
      <c r="B35" s="3" t="s">
        <v>549</v>
      </c>
      <c r="C35" s="15">
        <v>2.7272727272727271E-2</v>
      </c>
      <c r="D35" s="14">
        <f t="shared" si="0"/>
        <v>149.45454545454544</v>
      </c>
      <c r="E35" s="13">
        <f t="shared" si="1"/>
        <v>272.72727272727269</v>
      </c>
      <c r="F35" s="12"/>
      <c r="G35" s="12"/>
      <c r="H35" s="12"/>
    </row>
    <row r="36" spans="1:8" x14ac:dyDescent="0.2">
      <c r="A36" s="10" t="s">
        <v>121</v>
      </c>
      <c r="B36" s="10"/>
      <c r="C36" s="10"/>
      <c r="D36" s="9"/>
      <c r="E36" s="9"/>
    </row>
    <row r="38" spans="1:8" x14ac:dyDescent="0.2">
      <c r="A38" s="10" t="s">
        <v>571</v>
      </c>
      <c r="B38" s="11">
        <v>5480</v>
      </c>
      <c r="C38" s="10" t="s">
        <v>851</v>
      </c>
      <c r="D38" s="9"/>
      <c r="E38" s="9"/>
    </row>
    <row r="41" spans="1:8" ht="16" x14ac:dyDescent="0.2">
      <c r="A41" s="8" t="s">
        <v>572</v>
      </c>
      <c r="D41" s="3"/>
      <c r="E41" s="3"/>
    </row>
    <row r="42" spans="1:8" ht="16" x14ac:dyDescent="0.2">
      <c r="A42" s="5" t="s">
        <v>573</v>
      </c>
      <c r="B42" s="6">
        <v>2020</v>
      </c>
      <c r="C42" s="7"/>
      <c r="D42" s="3"/>
      <c r="E42" s="6"/>
    </row>
    <row r="46" spans="1:8" x14ac:dyDescent="0.2">
      <c r="A46" s="184" t="s">
        <v>852</v>
      </c>
      <c r="B46" s="185"/>
      <c r="C46" s="185"/>
      <c r="D46" s="186"/>
    </row>
    <row r="47" spans="1:8" ht="18" x14ac:dyDescent="0.2">
      <c r="A47" s="181"/>
      <c r="B47"/>
      <c r="C47"/>
      <c r="D47"/>
    </row>
    <row r="48" spans="1:8" x14ac:dyDescent="0.2">
      <c r="A48" s="182" t="s">
        <v>574</v>
      </c>
      <c r="B48" s="182" t="s">
        <v>575</v>
      </c>
      <c r="C48" s="182" t="s">
        <v>850</v>
      </c>
      <c r="D48" s="182" t="s">
        <v>576</v>
      </c>
    </row>
    <row r="49" spans="1:4" x14ac:dyDescent="0.2">
      <c r="A49" s="183">
        <v>2022</v>
      </c>
      <c r="B49" s="183">
        <v>254.363</v>
      </c>
      <c r="C49" s="183">
        <v>0.13</v>
      </c>
      <c r="D49" s="183">
        <v>5.48</v>
      </c>
    </row>
    <row r="50" spans="1:4" x14ac:dyDescent="0.2">
      <c r="A50" s="183">
        <v>2021</v>
      </c>
      <c r="B50" s="183">
        <v>231.43899999999999</v>
      </c>
      <c r="C50" s="183">
        <v>0.13</v>
      </c>
      <c r="D50" s="183">
        <v>4.9800000000000004</v>
      </c>
    </row>
    <row r="51" spans="1:4" x14ac:dyDescent="0.2">
      <c r="A51" s="183">
        <v>2020</v>
      </c>
      <c r="B51" s="183">
        <v>216.977</v>
      </c>
      <c r="C51" s="183">
        <v>0.13</v>
      </c>
      <c r="D51" s="183">
        <v>4.67</v>
      </c>
    </row>
    <row r="52" spans="1:4" x14ac:dyDescent="0.2">
      <c r="A52" s="183">
        <v>2019</v>
      </c>
      <c r="B52" s="183">
        <v>257.113</v>
      </c>
      <c r="C52" s="183">
        <v>0.13</v>
      </c>
      <c r="D52" s="183">
        <v>5.54</v>
      </c>
    </row>
    <row r="53" spans="1:4" x14ac:dyDescent="0.2">
      <c r="A53" s="183">
        <v>2018</v>
      </c>
      <c r="B53" s="183">
        <v>274.37099999999998</v>
      </c>
      <c r="C53" s="183">
        <v>0.15</v>
      </c>
      <c r="D53" s="183">
        <v>5.91</v>
      </c>
    </row>
    <row r="54" spans="1:4" x14ac:dyDescent="0.2">
      <c r="A54" s="183">
        <v>2017</v>
      </c>
      <c r="B54" s="183">
        <v>281.053</v>
      </c>
      <c r="C54" s="183">
        <v>0.15</v>
      </c>
      <c r="D54" s="183">
        <v>6.06</v>
      </c>
    </row>
    <row r="55" spans="1:4" x14ac:dyDescent="0.2">
      <c r="A55" s="183">
        <v>2016</v>
      </c>
      <c r="B55" s="183">
        <v>264.524</v>
      </c>
      <c r="C55" s="183">
        <v>0.15</v>
      </c>
      <c r="D55" s="183">
        <v>5.71</v>
      </c>
    </row>
    <row r="56" spans="1:4" x14ac:dyDescent="0.2">
      <c r="A56" s="183">
        <v>2015</v>
      </c>
      <c r="B56" s="183">
        <v>273.29700000000003</v>
      </c>
      <c r="C56" s="183">
        <v>0.16</v>
      </c>
      <c r="D56" s="183">
        <v>5.89</v>
      </c>
    </row>
    <row r="57" spans="1:4" x14ac:dyDescent="0.2">
      <c r="A57" s="183">
        <v>2014</v>
      </c>
      <c r="B57" s="183">
        <v>257.32100000000003</v>
      </c>
      <c r="C57" s="183">
        <v>0.15</v>
      </c>
      <c r="D57" s="183">
        <v>5.53</v>
      </c>
    </row>
    <row r="58" spans="1:4" x14ac:dyDescent="0.2">
      <c r="A58" s="183">
        <v>2013</v>
      </c>
      <c r="B58" s="183">
        <v>259.93200000000002</v>
      </c>
      <c r="C58" s="183">
        <v>0.16</v>
      </c>
      <c r="D58" s="183">
        <v>5.57</v>
      </c>
    </row>
    <row r="59" spans="1:4" x14ac:dyDescent="0.2">
      <c r="A59" s="183">
        <v>2012</v>
      </c>
      <c r="B59" s="183">
        <v>286.61799999999999</v>
      </c>
      <c r="C59" s="183">
        <v>0.17</v>
      </c>
      <c r="D59" s="183">
        <v>6.12</v>
      </c>
    </row>
    <row r="60" spans="1:4" x14ac:dyDescent="0.2">
      <c r="A60" s="183">
        <v>2011</v>
      </c>
      <c r="B60" s="183">
        <v>292.65699999999998</v>
      </c>
      <c r="C60" s="183">
        <v>0.17</v>
      </c>
      <c r="D60" s="183">
        <v>6.24</v>
      </c>
    </row>
    <row r="61" spans="1:4" x14ac:dyDescent="0.2">
      <c r="A61" s="183">
        <v>2010</v>
      </c>
      <c r="B61" s="183">
        <v>290.54899999999998</v>
      </c>
      <c r="C61" s="183">
        <v>0.17</v>
      </c>
      <c r="D61" s="183">
        <v>6.21</v>
      </c>
    </row>
    <row r="62" spans="1:4" x14ac:dyDescent="0.2">
      <c r="A62" s="183">
        <v>2009</v>
      </c>
      <c r="B62" s="183">
        <v>303.45100000000002</v>
      </c>
      <c r="C62" s="183">
        <v>0.17</v>
      </c>
      <c r="D62" s="183">
        <v>6.53</v>
      </c>
    </row>
    <row r="63" spans="1:4" x14ac:dyDescent="0.2">
      <c r="A63" s="183">
        <v>2008</v>
      </c>
      <c r="B63" s="183">
        <v>342.71600000000001</v>
      </c>
      <c r="C63" s="183">
        <v>0.19</v>
      </c>
      <c r="D63" s="183">
        <v>7.45</v>
      </c>
    </row>
    <row r="64" spans="1:4" x14ac:dyDescent="0.2">
      <c r="A64" s="183">
        <v>2007</v>
      </c>
      <c r="B64" s="183">
        <v>374.31799999999998</v>
      </c>
      <c r="C64" s="183">
        <v>0.21</v>
      </c>
      <c r="D64" s="183">
        <v>8.25</v>
      </c>
    </row>
    <row r="65" spans="1:4" x14ac:dyDescent="0.2">
      <c r="A65" s="183">
        <v>2006</v>
      </c>
      <c r="B65" s="183">
        <v>361.13</v>
      </c>
      <c r="C65" s="183">
        <v>0.21</v>
      </c>
      <c r="D65" s="183">
        <v>8.07</v>
      </c>
    </row>
    <row r="66" spans="1:4" x14ac:dyDescent="0.2">
      <c r="A66" s="183">
        <v>2005</v>
      </c>
      <c r="B66" s="183">
        <v>369.916</v>
      </c>
      <c r="C66" s="183">
        <v>0.22</v>
      </c>
      <c r="D66" s="183">
        <v>8.4</v>
      </c>
    </row>
    <row r="67" spans="1:4" x14ac:dyDescent="0.2">
      <c r="A67" s="183">
        <v>2004</v>
      </c>
      <c r="B67" s="183">
        <v>354.97899999999998</v>
      </c>
      <c r="C67" s="183">
        <v>0.22</v>
      </c>
      <c r="D67" s="183">
        <v>8.19</v>
      </c>
    </row>
    <row r="68" spans="1:4" x14ac:dyDescent="0.2">
      <c r="A68" s="183">
        <v>2003</v>
      </c>
      <c r="B68" s="183">
        <v>339.358</v>
      </c>
      <c r="C68" s="183">
        <v>0.22</v>
      </c>
      <c r="D68" s="183">
        <v>7.96</v>
      </c>
    </row>
    <row r="69" spans="1:4" x14ac:dyDescent="0.2">
      <c r="A69" s="183">
        <v>2002</v>
      </c>
      <c r="B69" s="183">
        <v>330.95699999999999</v>
      </c>
      <c r="C69" s="183">
        <v>0.22</v>
      </c>
      <c r="D69" s="183">
        <v>7.88</v>
      </c>
    </row>
    <row r="70" spans="1:4" x14ac:dyDescent="0.2">
      <c r="A70" s="183">
        <v>2001</v>
      </c>
      <c r="B70" s="183">
        <v>313.38400000000001</v>
      </c>
      <c r="C70" s="183">
        <v>0.21</v>
      </c>
      <c r="D70" s="183">
        <v>7.57</v>
      </c>
    </row>
    <row r="71" spans="1:4" x14ac:dyDescent="0.2">
      <c r="A71" s="183">
        <v>2000</v>
      </c>
      <c r="B71" s="183">
        <v>312.65499999999997</v>
      </c>
      <c r="C71" s="183">
        <v>0.22</v>
      </c>
      <c r="D71" s="183">
        <v>7.64</v>
      </c>
    </row>
    <row r="72" spans="1:4" x14ac:dyDescent="0.2">
      <c r="A72" s="183">
        <v>1999</v>
      </c>
      <c r="B72" s="183">
        <v>296.47199999999998</v>
      </c>
      <c r="C72" s="183">
        <v>0.22</v>
      </c>
      <c r="D72" s="183">
        <v>7.31</v>
      </c>
    </row>
    <row r="73" spans="1:4" x14ac:dyDescent="0.2">
      <c r="A73" s="183">
        <v>1998</v>
      </c>
      <c r="B73" s="183">
        <v>274.43900000000002</v>
      </c>
      <c r="C73" s="183">
        <v>0.21</v>
      </c>
      <c r="D73" s="183">
        <v>6.81</v>
      </c>
    </row>
    <row r="74" spans="1:4" x14ac:dyDescent="0.2">
      <c r="A74" s="183">
        <v>1997</v>
      </c>
      <c r="B74" s="183">
        <v>266.55700000000002</v>
      </c>
      <c r="C74" s="183">
        <v>0.22</v>
      </c>
      <c r="D74" s="183">
        <v>6.64</v>
      </c>
    </row>
    <row r="75" spans="1:4" x14ac:dyDescent="0.2">
      <c r="A75" s="183">
        <v>1996</v>
      </c>
      <c r="B75" s="183">
        <v>246.92099999999999</v>
      </c>
      <c r="C75" s="183">
        <v>0.21</v>
      </c>
      <c r="D75" s="183">
        <v>6.17</v>
      </c>
    </row>
    <row r="76" spans="1:4" x14ac:dyDescent="0.2">
      <c r="A76" s="183">
        <v>1995</v>
      </c>
      <c r="B76" s="183">
        <v>256.13200000000001</v>
      </c>
      <c r="C76" s="183">
        <v>0.22</v>
      </c>
      <c r="D76" s="183">
        <v>6.42</v>
      </c>
    </row>
    <row r="77" spans="1:4" x14ac:dyDescent="0.2">
      <c r="A77" s="183">
        <v>1994</v>
      </c>
      <c r="B77" s="183">
        <v>243.66300000000001</v>
      </c>
      <c r="C77" s="183">
        <v>0.22</v>
      </c>
      <c r="D77" s="183">
        <v>6.13</v>
      </c>
    </row>
    <row r="78" spans="1:4" x14ac:dyDescent="0.2">
      <c r="A78" s="183">
        <v>1993</v>
      </c>
      <c r="B78" s="183">
        <v>232.839</v>
      </c>
      <c r="C78" s="183">
        <v>0.21</v>
      </c>
      <c r="D78" s="183">
        <v>5.87</v>
      </c>
    </row>
    <row r="79" spans="1:4" x14ac:dyDescent="0.2">
      <c r="A79" s="183">
        <v>1992</v>
      </c>
      <c r="B79" s="183">
        <v>247.39699999999999</v>
      </c>
      <c r="C79" s="183">
        <v>0.22</v>
      </c>
      <c r="D79" s="183">
        <v>6.26</v>
      </c>
    </row>
    <row r="80" spans="1:4" x14ac:dyDescent="0.2">
      <c r="A80" s="183">
        <v>1991</v>
      </c>
      <c r="B80" s="183">
        <v>238.904</v>
      </c>
      <c r="C80" s="183">
        <v>0.22</v>
      </c>
      <c r="D80" s="183">
        <v>6.06</v>
      </c>
    </row>
    <row r="81" spans="1:4" x14ac:dyDescent="0.2">
      <c r="A81" s="183">
        <v>1990</v>
      </c>
      <c r="B81" s="183">
        <v>231.55799999999999</v>
      </c>
      <c r="C81" s="183">
        <v>0.22</v>
      </c>
      <c r="D81" s="183">
        <v>5.89</v>
      </c>
    </row>
    <row r="82" spans="1:4" x14ac:dyDescent="0.2">
      <c r="A82" s="183">
        <v>1989</v>
      </c>
      <c r="B82" s="183">
        <v>227.09299999999999</v>
      </c>
      <c r="C82" s="183"/>
      <c r="D82" s="183">
        <v>5.79</v>
      </c>
    </row>
    <row r="83" spans="1:4" x14ac:dyDescent="0.2">
      <c r="A83" s="183">
        <v>1988</v>
      </c>
      <c r="B83" s="183">
        <v>208.774</v>
      </c>
      <c r="C83" s="183"/>
      <c r="D83" s="183">
        <v>5.33</v>
      </c>
    </row>
    <row r="84" spans="1:4" x14ac:dyDescent="0.2">
      <c r="A84" s="183">
        <v>1987</v>
      </c>
      <c r="B84" s="183">
        <v>204.583</v>
      </c>
      <c r="C84" s="183"/>
      <c r="D84" s="183">
        <v>5.24</v>
      </c>
    </row>
    <row r="85" spans="1:4" x14ac:dyDescent="0.2">
      <c r="A85" s="183">
        <v>1986</v>
      </c>
      <c r="B85" s="183">
        <v>203.458</v>
      </c>
      <c r="C85" s="183"/>
      <c r="D85" s="183">
        <v>5.22</v>
      </c>
    </row>
    <row r="86" spans="1:4" x14ac:dyDescent="0.2">
      <c r="A86" s="183">
        <v>1985</v>
      </c>
      <c r="B86" s="183">
        <v>199.61</v>
      </c>
      <c r="C86" s="183"/>
      <c r="D86" s="183">
        <v>5.14</v>
      </c>
    </row>
    <row r="87" spans="1:4" x14ac:dyDescent="0.2">
      <c r="A87" s="183">
        <v>1984</v>
      </c>
      <c r="B87" s="183">
        <v>206.345</v>
      </c>
      <c r="C87" s="183"/>
      <c r="D87" s="183">
        <v>5.33</v>
      </c>
    </row>
    <row r="88" spans="1:4" x14ac:dyDescent="0.2">
      <c r="A88" s="183">
        <v>1983</v>
      </c>
      <c r="B88" s="183">
        <v>217.298</v>
      </c>
      <c r="C88" s="183"/>
      <c r="D88" s="183">
        <v>5.64</v>
      </c>
    </row>
    <row r="89" spans="1:4" x14ac:dyDescent="0.2">
      <c r="A89" s="183">
        <v>1982</v>
      </c>
      <c r="B89" s="183">
        <v>214.13</v>
      </c>
      <c r="C89" s="183"/>
      <c r="D89" s="183">
        <v>5.59</v>
      </c>
    </row>
    <row r="90" spans="1:4" x14ac:dyDescent="0.2">
      <c r="A90" s="183">
        <v>1981</v>
      </c>
      <c r="B90" s="183">
        <v>220.65899999999999</v>
      </c>
      <c r="C90" s="183"/>
      <c r="D90" s="183">
        <v>5.8</v>
      </c>
    </row>
    <row r="91" spans="1:4" x14ac:dyDescent="0.2">
      <c r="A91" s="183">
        <v>1980</v>
      </c>
      <c r="B91" s="183">
        <v>215.001</v>
      </c>
      <c r="C91" s="183"/>
      <c r="D91" s="183">
        <v>5.69</v>
      </c>
    </row>
    <row r="92" spans="1:4" x14ac:dyDescent="0.2">
      <c r="A92" s="183">
        <v>1979</v>
      </c>
      <c r="B92" s="183">
        <v>205.22900000000001</v>
      </c>
      <c r="C92" s="183"/>
      <c r="D92" s="183">
        <v>5.48</v>
      </c>
    </row>
    <row r="93" spans="1:4" x14ac:dyDescent="0.2">
      <c r="A93" s="183">
        <v>1978</v>
      </c>
      <c r="B93" s="183">
        <v>193.53100000000001</v>
      </c>
      <c r="C93" s="183"/>
      <c r="D93" s="183">
        <v>5.21</v>
      </c>
    </row>
    <row r="94" spans="1:4" x14ac:dyDescent="0.2">
      <c r="A94" s="183">
        <v>1977</v>
      </c>
      <c r="B94" s="183">
        <v>194.76300000000001</v>
      </c>
      <c r="C94" s="183"/>
      <c r="D94" s="183">
        <v>5.3</v>
      </c>
    </row>
    <row r="95" spans="1:4" x14ac:dyDescent="0.2">
      <c r="A95" s="183">
        <v>1976</v>
      </c>
      <c r="B95" s="183">
        <v>202.834</v>
      </c>
      <c r="C95" s="183"/>
      <c r="D95" s="183">
        <v>5.58</v>
      </c>
    </row>
    <row r="96" spans="1:4" x14ac:dyDescent="0.2">
      <c r="A96" s="183">
        <v>1975</v>
      </c>
      <c r="B96" s="183">
        <v>184.63300000000001</v>
      </c>
      <c r="C96" s="183"/>
      <c r="D96" s="183">
        <v>5.13</v>
      </c>
    </row>
    <row r="97" spans="1:4" x14ac:dyDescent="0.2">
      <c r="A97" s="183">
        <v>1974</v>
      </c>
      <c r="B97" s="183">
        <v>178.78800000000001</v>
      </c>
      <c r="C97" s="183"/>
      <c r="D97" s="183">
        <v>5.03</v>
      </c>
    </row>
    <row r="98" spans="1:4" x14ac:dyDescent="0.2">
      <c r="A98" s="183">
        <v>1973</v>
      </c>
      <c r="B98" s="183">
        <v>166.321</v>
      </c>
      <c r="C98" s="183"/>
      <c r="D98" s="183">
        <v>4.7300000000000004</v>
      </c>
    </row>
    <row r="99" spans="1:4" x14ac:dyDescent="0.2">
      <c r="A99" s="183">
        <v>1972</v>
      </c>
      <c r="B99" s="183">
        <v>153.41200000000001</v>
      </c>
      <c r="C99" s="183"/>
      <c r="D99" s="183">
        <v>4.41</v>
      </c>
    </row>
    <row r="100" spans="1:4" x14ac:dyDescent="0.2">
      <c r="A100" s="183">
        <v>1971</v>
      </c>
      <c r="B100" s="183">
        <v>141.10599999999999</v>
      </c>
      <c r="C100" s="183"/>
      <c r="D100" s="183">
        <v>4.1100000000000003</v>
      </c>
    </row>
    <row r="101" spans="1:4" x14ac:dyDescent="0.2">
      <c r="A101" s="183">
        <v>1970</v>
      </c>
      <c r="B101" s="183">
        <v>144.547</v>
      </c>
      <c r="C101" s="183"/>
      <c r="D101" s="183">
        <v>4.25</v>
      </c>
    </row>
  </sheetData>
  <mergeCells count="2">
    <mergeCell ref="F3:H3"/>
    <mergeCell ref="A1:D1"/>
  </mergeCells>
  <hyperlinks>
    <hyperlink ref="A42" r:id="rId1" tooltip="Emisiones CO2 toneladas per capita" display="https://datosmacro.expansion.com/energia-y-medio-ambiente/emisiones-co2/espana" xr:uid="{DA6ECB57-0C29-1643-89A5-14016A944526}"/>
  </hyperlinks>
  <pageMargins left="0.7" right="0.7" top="0.75" bottom="0.75" header="0.3" footer="0.3"/>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35A7E-268B-FA4E-A74A-F779ECA7A51C}">
  <sheetPr>
    <tabColor rgb="FFFFFF00"/>
  </sheetPr>
  <dimension ref="A3:F11"/>
  <sheetViews>
    <sheetView workbookViewId="0">
      <selection activeCell="A12" sqref="A12"/>
    </sheetView>
  </sheetViews>
  <sheetFormatPr baseColWidth="10" defaultColWidth="11" defaultRowHeight="16" x14ac:dyDescent="0.2"/>
  <sheetData>
    <row r="3" spans="1:6" x14ac:dyDescent="0.2">
      <c r="B3" t="s">
        <v>577</v>
      </c>
      <c r="F3" t="s">
        <v>578</v>
      </c>
    </row>
    <row r="4" spans="1:6" x14ac:dyDescent="0.2">
      <c r="B4" t="s">
        <v>108</v>
      </c>
      <c r="F4" s="60" t="s">
        <v>579</v>
      </c>
    </row>
    <row r="5" spans="1:6" x14ac:dyDescent="0.2">
      <c r="B5" t="s">
        <v>109</v>
      </c>
      <c r="F5" t="s">
        <v>136</v>
      </c>
    </row>
    <row r="6" spans="1:6" x14ac:dyDescent="0.2">
      <c r="F6" t="s">
        <v>345</v>
      </c>
    </row>
    <row r="7" spans="1:6" x14ac:dyDescent="0.2">
      <c r="B7" t="s">
        <v>580</v>
      </c>
      <c r="F7" t="s">
        <v>581</v>
      </c>
    </row>
    <row r="8" spans="1:6" x14ac:dyDescent="0.2">
      <c r="B8" t="s">
        <v>138</v>
      </c>
      <c r="F8" t="s">
        <v>582</v>
      </c>
    </row>
    <row r="9" spans="1:6" x14ac:dyDescent="0.2">
      <c r="B9" t="s">
        <v>330</v>
      </c>
      <c r="F9" t="s">
        <v>337</v>
      </c>
    </row>
    <row r="10" spans="1:6" x14ac:dyDescent="0.2">
      <c r="A10" t="s">
        <v>196</v>
      </c>
      <c r="B10" t="s">
        <v>583</v>
      </c>
      <c r="F10" t="s">
        <v>329</v>
      </c>
    </row>
    <row r="11" spans="1:6" x14ac:dyDescent="0.2">
      <c r="B11" s="60" t="s">
        <v>579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924c87f6-0084-4cb9-a9df-be3a54c37e2a">
      <UserInfo>
        <DisplayName>Tomas Gonzalez Dominguez</DisplayName>
        <AccountId>32</AccountId>
        <AccountType/>
      </UserInfo>
      <UserInfo>
        <DisplayName>Ada Pérez Salvà</DisplayName>
        <AccountId>108</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D91A750A24430F4EB929270B8C705F4B" ma:contentTypeVersion="10" ma:contentTypeDescription="Crear nuevo documento." ma:contentTypeScope="" ma:versionID="85ef1594b3c8d2ebcbf45c8e701c2f7e">
  <xsd:schema xmlns:xsd="http://www.w3.org/2001/XMLSchema" xmlns:xs="http://www.w3.org/2001/XMLSchema" xmlns:p="http://schemas.microsoft.com/office/2006/metadata/properties" xmlns:ns2="6e81cd51-175c-4007-8246-10a72cfa1505" xmlns:ns3="924c87f6-0084-4cb9-a9df-be3a54c37e2a" targetNamespace="http://schemas.microsoft.com/office/2006/metadata/properties" ma:root="true" ma:fieldsID="12ecefb9e51705f6e053e2cf5c615d80" ns2:_="" ns3:_="">
    <xsd:import namespace="6e81cd51-175c-4007-8246-10a72cfa1505"/>
    <xsd:import namespace="924c87f6-0084-4cb9-a9df-be3a54c37e2a"/>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81cd51-175c-4007-8246-10a72cfa150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924c87f6-0084-4cb9-a9df-be3a54c37e2a"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E7E0C1-BDFC-4D44-A17E-B4607E41FDC3}">
  <ds:schemaRefs>
    <ds:schemaRef ds:uri="http://purl.org/dc/terms/"/>
    <ds:schemaRef ds:uri="http://purl.org/dc/elements/1.1/"/>
    <ds:schemaRef ds:uri="http://schemas.microsoft.com/office/2006/documentManagement/types"/>
    <ds:schemaRef ds:uri="http://purl.org/dc/dcmitype/"/>
    <ds:schemaRef ds:uri="6e81cd51-175c-4007-8246-10a72cfa1505"/>
    <ds:schemaRef ds:uri="http://schemas.microsoft.com/office/infopath/2007/PartnerControls"/>
    <ds:schemaRef ds:uri="http://schemas.openxmlformats.org/package/2006/metadata/core-properties"/>
    <ds:schemaRef ds:uri="924c87f6-0084-4cb9-a9df-be3a54c37e2a"/>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E69D3162-6297-4731-A32C-C66E3CC3DB57}">
  <ds:schemaRefs>
    <ds:schemaRef ds:uri="http://schemas.microsoft.com/sharepoint/v3/contenttype/forms"/>
  </ds:schemaRefs>
</ds:datastoreItem>
</file>

<file path=customXml/itemProps3.xml><?xml version="1.0" encoding="utf-8"?>
<ds:datastoreItem xmlns:ds="http://schemas.openxmlformats.org/officeDocument/2006/customXml" ds:itemID="{7964A1CC-C5B8-4FB3-BD21-E921C6862EC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81cd51-175c-4007-8246-10a72cfa1505"/>
    <ds:schemaRef ds:uri="924c87f6-0084-4cb9-a9df-be3a54c37e2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20</vt:i4>
      </vt:variant>
    </vt:vector>
  </HeadingPairs>
  <TitlesOfParts>
    <vt:vector size="20" baseType="lpstr">
      <vt:lpstr>Cover</vt:lpstr>
      <vt:lpstr>Guia</vt:lpstr>
      <vt:lpstr>Índice </vt:lpstr>
      <vt:lpstr>Resumen de tu plan</vt:lpstr>
      <vt:lpstr>1.1 transporte  </vt:lpstr>
      <vt:lpstr>1.2. Calcular transporte</vt:lpstr>
      <vt:lpstr>2.1. consumo energia en hogar</vt:lpstr>
      <vt:lpstr>2.2. Calcular energía en el hog</vt:lpstr>
      <vt:lpstr>3.1. dieta y consumo alimentos</vt:lpstr>
      <vt:lpstr>3.2. Calculo dieta y cons....</vt:lpstr>
      <vt:lpstr>4.1. Compras y consumos</vt:lpstr>
      <vt:lpstr>4.2. Calculo compras y consumos</vt:lpstr>
      <vt:lpstr>5.1. Gestión de Residuos </vt:lpstr>
      <vt:lpstr>5.2. Calculo gestión de residuo</vt:lpstr>
      <vt:lpstr>6.1. Participación comunitaria</vt:lpstr>
      <vt:lpstr>6.2. Calcular Participación com</vt:lpstr>
      <vt:lpstr>Mi Plan</vt:lpstr>
      <vt:lpstr>Mis ideas</vt:lpstr>
      <vt:lpstr> CO2 Spain no tocar</vt:lpstr>
      <vt:lpstr> Parametros, no tocar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Vázquez Sanz</dc:creator>
  <cp:keywords/>
  <dc:description/>
  <cp:lastModifiedBy>Secretaria</cp:lastModifiedBy>
  <cp:revision/>
  <dcterms:created xsi:type="dcterms:W3CDTF">2023-11-19T12:46:21Z</dcterms:created>
  <dcterms:modified xsi:type="dcterms:W3CDTF">2025-07-14T16:09:58Z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0x010100D91A750A24430F4EB929270B8C705F4B</vt:lpwstr>
  </property>
</Properties>
</file>